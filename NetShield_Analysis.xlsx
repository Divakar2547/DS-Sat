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  <sheet name="Protocol" sheetId="3" r:id="rId3"/>
    <sheet name="Hourly" sheetId="4" r:id="rId4"/>
    <sheet name="Zones" sheetId="5" r:id="rId5"/>
    <sheet name="DestZones" sheetId="6" r:id="rId6"/>
    <sheet name="Ports" sheetId="7" r:id="rId7"/>
    <sheet name="HostGroups" sheetId="8" r:id="rId8"/>
    <sheet name="Maintenance" sheetId="9" r:id="rId9"/>
    <sheet name="Labels" sheetId="10" r:id="rId10"/>
    <sheet name="ZoneMatrix" sheetId="11" r:id="rId11"/>
    <sheet name="Features" sheetId="12" r:id="rId12"/>
    <sheet name="Stats" sheetId="13" r:id="rId13"/>
    <sheet name="Pivots" sheetId="14" r:id="rId14"/>
  </sheets>
  <definedNames>
    <definedName name="_xlnm._FilterDatabase" localSheetId="1" hidden="1">Data!$A$1:$X$1201</definedName>
  </definedNames>
  <calcPr calcId="124519" fullCalcOnLoad="1"/>
</workbook>
</file>

<file path=xl/sharedStrings.xml><?xml version="1.0" encoding="utf-8"?>
<sst xmlns="http://schemas.openxmlformats.org/spreadsheetml/2006/main" count="12176" uniqueCount="3709">
  <si>
    <t>flow_id</t>
  </si>
  <si>
    <t>timestamp</t>
  </si>
  <si>
    <t>protocol</t>
  </si>
  <si>
    <t>duration</t>
  </si>
  <si>
    <t>bytes</t>
  </si>
  <si>
    <t>packets</t>
  </si>
  <si>
    <t>host_group</t>
  </si>
  <si>
    <t>session_id</t>
  </si>
  <si>
    <t>label</t>
  </si>
  <si>
    <t>network_zone</t>
  </si>
  <si>
    <t>source_zone</t>
  </si>
  <si>
    <t>destination_zone</t>
  </si>
  <si>
    <t>port_category</t>
  </si>
  <si>
    <t>hour</t>
  </si>
  <si>
    <t>weekday</t>
  </si>
  <si>
    <t>maintenance_window</t>
  </si>
  <si>
    <t>bytes_per_second</t>
  </si>
  <si>
    <t>packets_per_second</t>
  </si>
  <si>
    <t>bytes_per_packet</t>
  </si>
  <si>
    <t>is_weekend</t>
  </si>
  <si>
    <t>is_off_hours</t>
  </si>
  <si>
    <t>extreme_bytes_flag</t>
  </si>
  <si>
    <t>log_bytes</t>
  </si>
  <si>
    <t>is_unusual</t>
  </si>
  <si>
    <t>F00000</t>
  </si>
  <si>
    <t>2026-09-01 00:00:00</t>
  </si>
  <si>
    <t>UDP</t>
  </si>
  <si>
    <t>lab_devices</t>
  </si>
  <si>
    <t>S00000</t>
  </si>
  <si>
    <t>normal</t>
  </si>
  <si>
    <t>internal</t>
  </si>
  <si>
    <t>external</t>
  </si>
  <si>
    <t>ssh</t>
  </si>
  <si>
    <t>F00001</t>
  </si>
  <si>
    <t>2026-09-01 00:05:00</t>
  </si>
  <si>
    <t>TCP</t>
  </si>
  <si>
    <t>servers</t>
  </si>
  <si>
    <t>S00001</t>
  </si>
  <si>
    <t>dmz</t>
  </si>
  <si>
    <t>other</t>
  </si>
  <si>
    <t>F00002</t>
  </si>
  <si>
    <t>2026-09-01 00:10:00</t>
  </si>
  <si>
    <t>S00002</t>
  </si>
  <si>
    <t>policy_event</t>
  </si>
  <si>
    <t>ephemeral</t>
  </si>
  <si>
    <t>F00003</t>
  </si>
  <si>
    <t>2026-09-01 00:15:00</t>
  </si>
  <si>
    <t>guest_network</t>
  </si>
  <si>
    <t>S00003</t>
  </si>
  <si>
    <t>burst</t>
  </si>
  <si>
    <t>F00004</t>
  </si>
  <si>
    <t>2026-09-01 00:20:00</t>
  </si>
  <si>
    <t>ICMP</t>
  </si>
  <si>
    <t>S00004</t>
  </si>
  <si>
    <t>F00005</t>
  </si>
  <si>
    <t>2026-09-01 00:25:00</t>
  </si>
  <si>
    <t>S00005</t>
  </si>
  <si>
    <t>F00006</t>
  </si>
  <si>
    <t>2026-09-01 00:30:00</t>
  </si>
  <si>
    <t>S00006</t>
  </si>
  <si>
    <t>F00007</t>
  </si>
  <si>
    <t>2026-09-01 00:35:00</t>
  </si>
  <si>
    <t>workstations</t>
  </si>
  <si>
    <t>S00007</t>
  </si>
  <si>
    <t>F00008</t>
  </si>
  <si>
    <t>2026-09-01 00:40:00</t>
  </si>
  <si>
    <t>S00008</t>
  </si>
  <si>
    <t>F00009</t>
  </si>
  <si>
    <t>2026-09-01 00:45:00</t>
  </si>
  <si>
    <t>S00009</t>
  </si>
  <si>
    <t>F00010</t>
  </si>
  <si>
    <t>2026-09-01 00:50:00</t>
  </si>
  <si>
    <t>S00010</t>
  </si>
  <si>
    <t>F00011</t>
  </si>
  <si>
    <t>2026-09-01 00:55:00</t>
  </si>
  <si>
    <t>S00011</t>
  </si>
  <si>
    <t>dns</t>
  </si>
  <si>
    <t>F00012</t>
  </si>
  <si>
    <t>2026-09-01 01:00:00</t>
  </si>
  <si>
    <t>S00012</t>
  </si>
  <si>
    <t>F00013</t>
  </si>
  <si>
    <t>2026-09-01 01:05:00</t>
  </si>
  <si>
    <t>S00013</t>
  </si>
  <si>
    <t>database</t>
  </si>
  <si>
    <t>F00014</t>
  </si>
  <si>
    <t>2026-09-01 01:10:00</t>
  </si>
  <si>
    <t>S00014</t>
  </si>
  <si>
    <t>F00015</t>
  </si>
  <si>
    <t>2026-09-01 01:15:00</t>
  </si>
  <si>
    <t>S00015</t>
  </si>
  <si>
    <t>scan</t>
  </si>
  <si>
    <t>F00016</t>
  </si>
  <si>
    <t>2026-09-01 01:20:00</t>
  </si>
  <si>
    <t>S00016</t>
  </si>
  <si>
    <t>F00017</t>
  </si>
  <si>
    <t>2026-09-01 01:25:00</t>
  </si>
  <si>
    <t>S00017</t>
  </si>
  <si>
    <t>web</t>
  </si>
  <si>
    <t>F00018</t>
  </si>
  <si>
    <t>2026-09-01 01:30:00</t>
  </si>
  <si>
    <t>S00018</t>
  </si>
  <si>
    <t>F00019</t>
  </si>
  <si>
    <t>2026-09-01 01:35:00</t>
  </si>
  <si>
    <t>S00019</t>
  </si>
  <si>
    <t>F00020</t>
  </si>
  <si>
    <t>2026-09-01 01:40:00</t>
  </si>
  <si>
    <t>S00020</t>
  </si>
  <si>
    <t>F00021</t>
  </si>
  <si>
    <t>2026-09-01 01:45:00</t>
  </si>
  <si>
    <t>S00021</t>
  </si>
  <si>
    <t>F00022</t>
  </si>
  <si>
    <t>2026-09-01 01:50:00</t>
  </si>
  <si>
    <t>S00022</t>
  </si>
  <si>
    <t>F00023</t>
  </si>
  <si>
    <t>2026-09-01 01:55:00</t>
  </si>
  <si>
    <t>S00023</t>
  </si>
  <si>
    <t>F00024</t>
  </si>
  <si>
    <t>2026-09-01 02:00:00</t>
  </si>
  <si>
    <t>S00024</t>
  </si>
  <si>
    <t>F00025</t>
  </si>
  <si>
    <t>2026-09-01 02:05:00</t>
  </si>
  <si>
    <t>S00025</t>
  </si>
  <si>
    <t>F00026</t>
  </si>
  <si>
    <t>2026-09-01 02:10:00</t>
  </si>
  <si>
    <t>S00026</t>
  </si>
  <si>
    <t>F00027</t>
  </si>
  <si>
    <t>2026-09-01 02:15:00</t>
  </si>
  <si>
    <t>S00027</t>
  </si>
  <si>
    <t>F00028</t>
  </si>
  <si>
    <t>2026-09-01 02:20:00</t>
  </si>
  <si>
    <t>UNKNOWN</t>
  </si>
  <si>
    <t>S00028</t>
  </si>
  <si>
    <t>F00029</t>
  </si>
  <si>
    <t>2026-09-01 02:25:00</t>
  </si>
  <si>
    <t>S00029</t>
  </si>
  <si>
    <t>F00030</t>
  </si>
  <si>
    <t>2026-09-01 02:30:00</t>
  </si>
  <si>
    <t>S00030</t>
  </si>
  <si>
    <t>F00031</t>
  </si>
  <si>
    <t>2026-09-01 02:35:00</t>
  </si>
  <si>
    <t>S00031</t>
  </si>
  <si>
    <t>F00032</t>
  </si>
  <si>
    <t>2026-09-01 02:40:00</t>
  </si>
  <si>
    <t>S00032</t>
  </si>
  <si>
    <t>F00033</t>
  </si>
  <si>
    <t>2026-09-01 02:45:00</t>
  </si>
  <si>
    <t>S00033</t>
  </si>
  <si>
    <t>F00034</t>
  </si>
  <si>
    <t>2026-09-01 02:50:00</t>
  </si>
  <si>
    <t>S00034</t>
  </si>
  <si>
    <t>F00035</t>
  </si>
  <si>
    <t>2026-09-01 02:55:00</t>
  </si>
  <si>
    <t>S00035</t>
  </si>
  <si>
    <t>F00036</t>
  </si>
  <si>
    <t>2026-09-01 03:00:00</t>
  </si>
  <si>
    <t>S00036</t>
  </si>
  <si>
    <t>F00037</t>
  </si>
  <si>
    <t>2026-09-01 03:05:00</t>
  </si>
  <si>
    <t>S00037</t>
  </si>
  <si>
    <t>F00038</t>
  </si>
  <si>
    <t>2026-09-01 03:10:00</t>
  </si>
  <si>
    <t>S00038</t>
  </si>
  <si>
    <t>F00039</t>
  </si>
  <si>
    <t>2026-09-01 03:15:00</t>
  </si>
  <si>
    <t>S00039</t>
  </si>
  <si>
    <t>F00040</t>
  </si>
  <si>
    <t>2026-09-01 03:20:00</t>
  </si>
  <si>
    <t>S00040</t>
  </si>
  <si>
    <t>F00041</t>
  </si>
  <si>
    <t>2026-09-01 03:25:00</t>
  </si>
  <si>
    <t>S00041</t>
  </si>
  <si>
    <t>F00042</t>
  </si>
  <si>
    <t>2026-09-01 03:30:00</t>
  </si>
  <si>
    <t>S00042</t>
  </si>
  <si>
    <t>F00043</t>
  </si>
  <si>
    <t>2026-09-01 03:35:00</t>
  </si>
  <si>
    <t>S00043</t>
  </si>
  <si>
    <t>F00044</t>
  </si>
  <si>
    <t>2026-09-01 03:40:00</t>
  </si>
  <si>
    <t>S00044</t>
  </si>
  <si>
    <t>F00045</t>
  </si>
  <si>
    <t>2026-09-01 03:45:00</t>
  </si>
  <si>
    <t>S00045</t>
  </si>
  <si>
    <t>F00046</t>
  </si>
  <si>
    <t>2026-09-01 03:50:00</t>
  </si>
  <si>
    <t>S00046</t>
  </si>
  <si>
    <t>F00047</t>
  </si>
  <si>
    <t>2026-09-01 03:55:00</t>
  </si>
  <si>
    <t>S00047</t>
  </si>
  <si>
    <t>F00048</t>
  </si>
  <si>
    <t>2026-09-01 04:00:00</t>
  </si>
  <si>
    <t>S00048</t>
  </si>
  <si>
    <t>F00049</t>
  </si>
  <si>
    <t>2026-09-01 04:05:00</t>
  </si>
  <si>
    <t>S00049</t>
  </si>
  <si>
    <t>F00050</t>
  </si>
  <si>
    <t>2026-09-01 04:10:00</t>
  </si>
  <si>
    <t>S00050</t>
  </si>
  <si>
    <t>F00051</t>
  </si>
  <si>
    <t>2026-09-01 04:15:00</t>
  </si>
  <si>
    <t>S00051</t>
  </si>
  <si>
    <t>F00052</t>
  </si>
  <si>
    <t>2026-09-01 04:20:00</t>
  </si>
  <si>
    <t>S00052</t>
  </si>
  <si>
    <t>F00053</t>
  </si>
  <si>
    <t>2026-09-01 04:25:00</t>
  </si>
  <si>
    <t>S00053</t>
  </si>
  <si>
    <t>F00054</t>
  </si>
  <si>
    <t>2026-09-01 04:30:00</t>
  </si>
  <si>
    <t>S00054</t>
  </si>
  <si>
    <t>F00055</t>
  </si>
  <si>
    <t>2026-09-01 04:35:00</t>
  </si>
  <si>
    <t>S00055</t>
  </si>
  <si>
    <t>F00056</t>
  </si>
  <si>
    <t>2026-09-01 04:40:00</t>
  </si>
  <si>
    <t>S00056</t>
  </si>
  <si>
    <t>F00057</t>
  </si>
  <si>
    <t>2026-09-01 04:45:00</t>
  </si>
  <si>
    <t>S00057</t>
  </si>
  <si>
    <t>F00058</t>
  </si>
  <si>
    <t>2026-09-01 04:50:00</t>
  </si>
  <si>
    <t>S00058</t>
  </si>
  <si>
    <t>F00059</t>
  </si>
  <si>
    <t>2026-09-01 04:55:00</t>
  </si>
  <si>
    <t>S00059</t>
  </si>
  <si>
    <t>F00060</t>
  </si>
  <si>
    <t>2026-09-01 05:00:00</t>
  </si>
  <si>
    <t>S00060</t>
  </si>
  <si>
    <t>F00061</t>
  </si>
  <si>
    <t>2026-09-01 05:05:00</t>
  </si>
  <si>
    <t>S00061</t>
  </si>
  <si>
    <t>F00062</t>
  </si>
  <si>
    <t>2026-09-01 05:10:00</t>
  </si>
  <si>
    <t>S00062</t>
  </si>
  <si>
    <t>F00063</t>
  </si>
  <si>
    <t>2026-09-01 05:15:00</t>
  </si>
  <si>
    <t>S00063</t>
  </si>
  <si>
    <t>F00064</t>
  </si>
  <si>
    <t>2026-09-01 05:20:00</t>
  </si>
  <si>
    <t>S00064</t>
  </si>
  <si>
    <t>F00065</t>
  </si>
  <si>
    <t>2026-09-01 05:25:00</t>
  </si>
  <si>
    <t>S00065</t>
  </si>
  <si>
    <t>F00066</t>
  </si>
  <si>
    <t>2026-09-01 05:30:00</t>
  </si>
  <si>
    <t>S00066</t>
  </si>
  <si>
    <t>F00067</t>
  </si>
  <si>
    <t>2026-09-01 05:35:00</t>
  </si>
  <si>
    <t>S00067</t>
  </si>
  <si>
    <t>F00068</t>
  </si>
  <si>
    <t>2026-09-01 05:40:00</t>
  </si>
  <si>
    <t>S00068</t>
  </si>
  <si>
    <t>F00069</t>
  </si>
  <si>
    <t>2026-09-01 05:45:00</t>
  </si>
  <si>
    <t>S00069</t>
  </si>
  <si>
    <t>F00070</t>
  </si>
  <si>
    <t>2026-09-01 05:50:00</t>
  </si>
  <si>
    <t>S00070</t>
  </si>
  <si>
    <t>F00071</t>
  </si>
  <si>
    <t>2026-09-01 05:55:00</t>
  </si>
  <si>
    <t>S00071</t>
  </si>
  <si>
    <t>F00072</t>
  </si>
  <si>
    <t>2026-09-01 06:00:00</t>
  </si>
  <si>
    <t>S00072</t>
  </si>
  <si>
    <t>F00073</t>
  </si>
  <si>
    <t>2026-09-01 06:05:00</t>
  </si>
  <si>
    <t>S00073</t>
  </si>
  <si>
    <t>F00074</t>
  </si>
  <si>
    <t>2026-09-01 06:10:00</t>
  </si>
  <si>
    <t>S00074</t>
  </si>
  <si>
    <t>F00075</t>
  </si>
  <si>
    <t>2026-09-01 06:15:00</t>
  </si>
  <si>
    <t>S00075</t>
  </si>
  <si>
    <t>F00076</t>
  </si>
  <si>
    <t>2026-09-01 06:20:00</t>
  </si>
  <si>
    <t>S00076</t>
  </si>
  <si>
    <t>F00077</t>
  </si>
  <si>
    <t>2026-09-01 06:25:00</t>
  </si>
  <si>
    <t>S00077</t>
  </si>
  <si>
    <t>F00078</t>
  </si>
  <si>
    <t>2026-09-01 06:30:00</t>
  </si>
  <si>
    <t>S00078</t>
  </si>
  <si>
    <t>F00079</t>
  </si>
  <si>
    <t>2026-09-01 06:35:00</t>
  </si>
  <si>
    <t>S00079</t>
  </si>
  <si>
    <t>F00080</t>
  </si>
  <si>
    <t>2026-09-01 06:40:00</t>
  </si>
  <si>
    <t>S00080</t>
  </si>
  <si>
    <t>F00081</t>
  </si>
  <si>
    <t>2026-09-01 06:45:00</t>
  </si>
  <si>
    <t>S00081</t>
  </si>
  <si>
    <t>F00082</t>
  </si>
  <si>
    <t>2026-09-01 06:50:00</t>
  </si>
  <si>
    <t>S00082</t>
  </si>
  <si>
    <t>F00083</t>
  </si>
  <si>
    <t>2026-09-01 06:55:00</t>
  </si>
  <si>
    <t>S00083</t>
  </si>
  <si>
    <t>F00084</t>
  </si>
  <si>
    <t>2026-09-01 07:00:00</t>
  </si>
  <si>
    <t>S00084</t>
  </si>
  <si>
    <t>F00085</t>
  </si>
  <si>
    <t>2026-09-01 07:05:00</t>
  </si>
  <si>
    <t>S00085</t>
  </si>
  <si>
    <t>F00086</t>
  </si>
  <si>
    <t>2026-09-01 07:10:00</t>
  </si>
  <si>
    <t>S00086</t>
  </si>
  <si>
    <t>F00087</t>
  </si>
  <si>
    <t>2026-09-01 07:15:00</t>
  </si>
  <si>
    <t>S00087</t>
  </si>
  <si>
    <t>F00088</t>
  </si>
  <si>
    <t>2026-09-01 07:20:00</t>
  </si>
  <si>
    <t>S00088</t>
  </si>
  <si>
    <t>F00089</t>
  </si>
  <si>
    <t>2026-09-01 07:25:00</t>
  </si>
  <si>
    <t>S00089</t>
  </si>
  <si>
    <t>F00090</t>
  </si>
  <si>
    <t>2026-09-01 07:30:00</t>
  </si>
  <si>
    <t>S00090</t>
  </si>
  <si>
    <t>F00091</t>
  </si>
  <si>
    <t>2026-09-01 07:35:00</t>
  </si>
  <si>
    <t>S00091</t>
  </si>
  <si>
    <t>F00092</t>
  </si>
  <si>
    <t>2026-09-01 07:40:00</t>
  </si>
  <si>
    <t>S00092</t>
  </si>
  <si>
    <t>F00093</t>
  </si>
  <si>
    <t>2026-09-01 07:45:00</t>
  </si>
  <si>
    <t>S00093</t>
  </si>
  <si>
    <t>F00094</t>
  </si>
  <si>
    <t>2026-09-01 07:50:00</t>
  </si>
  <si>
    <t>S00094</t>
  </si>
  <si>
    <t>F00095</t>
  </si>
  <si>
    <t>2026-09-01 07:55:00</t>
  </si>
  <si>
    <t>S00095</t>
  </si>
  <si>
    <t>F00096</t>
  </si>
  <si>
    <t>2026-09-01 08:00:00</t>
  </si>
  <si>
    <t>S00096</t>
  </si>
  <si>
    <t>F00097</t>
  </si>
  <si>
    <t>2026-09-01 08:05:00</t>
  </si>
  <si>
    <t>S00097</t>
  </si>
  <si>
    <t>F00098</t>
  </si>
  <si>
    <t>2026-09-01 08:10:00</t>
  </si>
  <si>
    <t>S00098</t>
  </si>
  <si>
    <t>F00099</t>
  </si>
  <si>
    <t>2026-09-01 08:15:00</t>
  </si>
  <si>
    <t>S00099</t>
  </si>
  <si>
    <t>F00100</t>
  </si>
  <si>
    <t>2026-09-01 08:20:00</t>
  </si>
  <si>
    <t>S00100</t>
  </si>
  <si>
    <t>F00101</t>
  </si>
  <si>
    <t>2026-09-01 08:25:00</t>
  </si>
  <si>
    <t>S00101</t>
  </si>
  <si>
    <t>F00102</t>
  </si>
  <si>
    <t>2026-09-01 08:30:00</t>
  </si>
  <si>
    <t>S00102</t>
  </si>
  <si>
    <t>F00103</t>
  </si>
  <si>
    <t>2026-09-01 08:35:00</t>
  </si>
  <si>
    <t>S00103</t>
  </si>
  <si>
    <t>F00104</t>
  </si>
  <si>
    <t>2026-09-01 08:40:00</t>
  </si>
  <si>
    <t>S00104</t>
  </si>
  <si>
    <t>F00105</t>
  </si>
  <si>
    <t>2026-09-01 08:45:00</t>
  </si>
  <si>
    <t>S00105</t>
  </si>
  <si>
    <t>F00106</t>
  </si>
  <si>
    <t>2026-09-01 08:50:00</t>
  </si>
  <si>
    <t>S00106</t>
  </si>
  <si>
    <t>F00107</t>
  </si>
  <si>
    <t>2026-09-01 08:55:00</t>
  </si>
  <si>
    <t>S00107</t>
  </si>
  <si>
    <t>F00108</t>
  </si>
  <si>
    <t>2026-09-01 09:00:00</t>
  </si>
  <si>
    <t>S00108</t>
  </si>
  <si>
    <t>F00109</t>
  </si>
  <si>
    <t>2026-09-01 09:05:00</t>
  </si>
  <si>
    <t>S00109</t>
  </si>
  <si>
    <t>F00110</t>
  </si>
  <si>
    <t>2026-09-01 09:10:00</t>
  </si>
  <si>
    <t>S00110</t>
  </si>
  <si>
    <t>F00111</t>
  </si>
  <si>
    <t>2026-09-01 09:15:00</t>
  </si>
  <si>
    <t>S00111</t>
  </si>
  <si>
    <t>F00112</t>
  </si>
  <si>
    <t>2026-09-01 09:20:00</t>
  </si>
  <si>
    <t>S00112</t>
  </si>
  <si>
    <t>F00113</t>
  </si>
  <si>
    <t>2026-09-01 09:25:00</t>
  </si>
  <si>
    <t>S00113</t>
  </si>
  <si>
    <t>F00114</t>
  </si>
  <si>
    <t>2026-09-01 09:30:00</t>
  </si>
  <si>
    <t>S00114</t>
  </si>
  <si>
    <t>F00115</t>
  </si>
  <si>
    <t>2026-09-01 09:35:00</t>
  </si>
  <si>
    <t>S00115</t>
  </si>
  <si>
    <t>F00116</t>
  </si>
  <si>
    <t>2026-09-01 09:40:00</t>
  </si>
  <si>
    <t>S00116</t>
  </si>
  <si>
    <t>F00117</t>
  </si>
  <si>
    <t>2026-09-01 09:45:00</t>
  </si>
  <si>
    <t>S00117</t>
  </si>
  <si>
    <t>F00118</t>
  </si>
  <si>
    <t>2026-09-01 09:50:00</t>
  </si>
  <si>
    <t>S00118</t>
  </si>
  <si>
    <t>F00119</t>
  </si>
  <si>
    <t>2026-09-01 09:55:00</t>
  </si>
  <si>
    <t>S00119</t>
  </si>
  <si>
    <t>F00120</t>
  </si>
  <si>
    <t>2026-09-01 10:00:00</t>
  </si>
  <si>
    <t>S00120</t>
  </si>
  <si>
    <t>F00121</t>
  </si>
  <si>
    <t>2026-09-01 10:05:00</t>
  </si>
  <si>
    <t>S00121</t>
  </si>
  <si>
    <t>F00122</t>
  </si>
  <si>
    <t>2026-09-01 10:10:00</t>
  </si>
  <si>
    <t>S00122</t>
  </si>
  <si>
    <t>F00123</t>
  </si>
  <si>
    <t>2026-09-01 10:15:00</t>
  </si>
  <si>
    <t>S00123</t>
  </si>
  <si>
    <t>F00124</t>
  </si>
  <si>
    <t>2026-09-01 10:20:00</t>
  </si>
  <si>
    <t>S00124</t>
  </si>
  <si>
    <t>F00125</t>
  </si>
  <si>
    <t>2026-09-01 10:25:00</t>
  </si>
  <si>
    <t>S00125</t>
  </si>
  <si>
    <t>F00126</t>
  </si>
  <si>
    <t>2026-09-01 10:30:00</t>
  </si>
  <si>
    <t>S00126</t>
  </si>
  <si>
    <t>F00127</t>
  </si>
  <si>
    <t>2026-09-01 10:35:00</t>
  </si>
  <si>
    <t>S00127</t>
  </si>
  <si>
    <t>F00128</t>
  </si>
  <si>
    <t>2026-09-01 10:40:00</t>
  </si>
  <si>
    <t>S00128</t>
  </si>
  <si>
    <t>F00129</t>
  </si>
  <si>
    <t>2026-09-01 10:45:00</t>
  </si>
  <si>
    <t>S00129</t>
  </si>
  <si>
    <t>F00130</t>
  </si>
  <si>
    <t>2026-09-01 10:50:00</t>
  </si>
  <si>
    <t>S00130</t>
  </si>
  <si>
    <t>F00131</t>
  </si>
  <si>
    <t>2026-09-01 10:55:00</t>
  </si>
  <si>
    <t>S00131</t>
  </si>
  <si>
    <t>F00132</t>
  </si>
  <si>
    <t>2026-09-01 11:00:00</t>
  </si>
  <si>
    <t>S00132</t>
  </si>
  <si>
    <t>F00133</t>
  </si>
  <si>
    <t>2026-09-01 11:05:00</t>
  </si>
  <si>
    <t>S00133</t>
  </si>
  <si>
    <t>F00134</t>
  </si>
  <si>
    <t>2026-09-01 11:10:00</t>
  </si>
  <si>
    <t>S00134</t>
  </si>
  <si>
    <t>F00135</t>
  </si>
  <si>
    <t>2026-09-01 11:15:00</t>
  </si>
  <si>
    <t>S00135</t>
  </si>
  <si>
    <t>F00136</t>
  </si>
  <si>
    <t>2026-09-01 11:20:00</t>
  </si>
  <si>
    <t>S00136</t>
  </si>
  <si>
    <t>F00137</t>
  </si>
  <si>
    <t>2026-09-01 11:25:00</t>
  </si>
  <si>
    <t>S00137</t>
  </si>
  <si>
    <t>F00138</t>
  </si>
  <si>
    <t>2026-09-01 11:30:00</t>
  </si>
  <si>
    <t>S00138</t>
  </si>
  <si>
    <t>F00139</t>
  </si>
  <si>
    <t>2026-09-01 11:35:00</t>
  </si>
  <si>
    <t>S00139</t>
  </si>
  <si>
    <t>F00140</t>
  </si>
  <si>
    <t>2026-09-01 11:40:00</t>
  </si>
  <si>
    <t>S00140</t>
  </si>
  <si>
    <t>F00141</t>
  </si>
  <si>
    <t>2026-09-01 11:45:00</t>
  </si>
  <si>
    <t>S00141</t>
  </si>
  <si>
    <t>F00142</t>
  </si>
  <si>
    <t>2026-09-01 11:50:00</t>
  </si>
  <si>
    <t>S00142</t>
  </si>
  <si>
    <t>F00143</t>
  </si>
  <si>
    <t>2026-09-01 11:55:00</t>
  </si>
  <si>
    <t>S00143</t>
  </si>
  <si>
    <t>F00144</t>
  </si>
  <si>
    <t>2026-09-01 12:00:00</t>
  </si>
  <si>
    <t>S00144</t>
  </si>
  <si>
    <t>F00145</t>
  </si>
  <si>
    <t>2026-09-01 12:05:00</t>
  </si>
  <si>
    <t>S00145</t>
  </si>
  <si>
    <t>F00146</t>
  </si>
  <si>
    <t>2026-09-01 12:10:00</t>
  </si>
  <si>
    <t>S00146</t>
  </si>
  <si>
    <t>F00147</t>
  </si>
  <si>
    <t>2026-09-01 12:15:00</t>
  </si>
  <si>
    <t>S00147</t>
  </si>
  <si>
    <t>F00148</t>
  </si>
  <si>
    <t>2026-09-01 12:20:00</t>
  </si>
  <si>
    <t>S00148</t>
  </si>
  <si>
    <t>F00149</t>
  </si>
  <si>
    <t>2026-09-01 12:25:00</t>
  </si>
  <si>
    <t>S00149</t>
  </si>
  <si>
    <t>F00150</t>
  </si>
  <si>
    <t>2026-09-01 12:30:00</t>
  </si>
  <si>
    <t>S00150</t>
  </si>
  <si>
    <t>F00151</t>
  </si>
  <si>
    <t>2026-09-01 12:35:00</t>
  </si>
  <si>
    <t>S00151</t>
  </si>
  <si>
    <t>F00152</t>
  </si>
  <si>
    <t>2026-09-01 12:40:00</t>
  </si>
  <si>
    <t>S00152</t>
  </si>
  <si>
    <t>F00153</t>
  </si>
  <si>
    <t>2026-09-01 12:45:00</t>
  </si>
  <si>
    <t>S00153</t>
  </si>
  <si>
    <t>F00154</t>
  </si>
  <si>
    <t>2026-09-01 12:50:00</t>
  </si>
  <si>
    <t>S00154</t>
  </si>
  <si>
    <t>F00155</t>
  </si>
  <si>
    <t>2026-09-01 12:55:00</t>
  </si>
  <si>
    <t>S00155</t>
  </si>
  <si>
    <t>F00156</t>
  </si>
  <si>
    <t>2026-09-01 13:00:00</t>
  </si>
  <si>
    <t>S00156</t>
  </si>
  <si>
    <t>F00157</t>
  </si>
  <si>
    <t>2026-09-01 13:05:00</t>
  </si>
  <si>
    <t>S00157</t>
  </si>
  <si>
    <t>F00158</t>
  </si>
  <si>
    <t>2026-09-01 13:10:00</t>
  </si>
  <si>
    <t>S00158</t>
  </si>
  <si>
    <t>F00159</t>
  </si>
  <si>
    <t>2026-09-01 13:15:00</t>
  </si>
  <si>
    <t>S00159</t>
  </si>
  <si>
    <t>F00160</t>
  </si>
  <si>
    <t>2026-09-01 13:20:00</t>
  </si>
  <si>
    <t>S00160</t>
  </si>
  <si>
    <t>F00161</t>
  </si>
  <si>
    <t>2026-09-01 13:25:00</t>
  </si>
  <si>
    <t>S00161</t>
  </si>
  <si>
    <t>F00162</t>
  </si>
  <si>
    <t>2026-09-01 13:30:00</t>
  </si>
  <si>
    <t>S00162</t>
  </si>
  <si>
    <t>F00163</t>
  </si>
  <si>
    <t>2026-09-01 13:35:00</t>
  </si>
  <si>
    <t>S00163</t>
  </si>
  <si>
    <t>F00164</t>
  </si>
  <si>
    <t>2026-09-01 13:40:00</t>
  </si>
  <si>
    <t>S00164</t>
  </si>
  <si>
    <t>F00165</t>
  </si>
  <si>
    <t>2026-09-01 13:45:00</t>
  </si>
  <si>
    <t>S00165</t>
  </si>
  <si>
    <t>F00166</t>
  </si>
  <si>
    <t>2026-09-01 13:50:00</t>
  </si>
  <si>
    <t>S00166</t>
  </si>
  <si>
    <t>F00167</t>
  </si>
  <si>
    <t>2026-09-01 13:55:00</t>
  </si>
  <si>
    <t>S00167</t>
  </si>
  <si>
    <t>F00168</t>
  </si>
  <si>
    <t>2026-09-01 14:00:00</t>
  </si>
  <si>
    <t>S00168</t>
  </si>
  <si>
    <t>F00169</t>
  </si>
  <si>
    <t>2026-09-01 14:05:00</t>
  </si>
  <si>
    <t>S00169</t>
  </si>
  <si>
    <t>F00170</t>
  </si>
  <si>
    <t>2026-09-01 14:10:00</t>
  </si>
  <si>
    <t>S00170</t>
  </si>
  <si>
    <t>F00171</t>
  </si>
  <si>
    <t>2026-09-01 14:15:00</t>
  </si>
  <si>
    <t>S00171</t>
  </si>
  <si>
    <t>F00172</t>
  </si>
  <si>
    <t>2026-09-01 14:20:00</t>
  </si>
  <si>
    <t>S00172</t>
  </si>
  <si>
    <t>F00173</t>
  </si>
  <si>
    <t>2026-09-01 14:25:00</t>
  </si>
  <si>
    <t>S00173</t>
  </si>
  <si>
    <t>F00174</t>
  </si>
  <si>
    <t>2026-09-01 14:30:00</t>
  </si>
  <si>
    <t>S00174</t>
  </si>
  <si>
    <t>F00175</t>
  </si>
  <si>
    <t>2026-09-01 14:35:00</t>
  </si>
  <si>
    <t>S00175</t>
  </si>
  <si>
    <t>F00176</t>
  </si>
  <si>
    <t>2026-09-01 14:40:00</t>
  </si>
  <si>
    <t>S00176</t>
  </si>
  <si>
    <t>F00177</t>
  </si>
  <si>
    <t>2026-09-01 14:45:00</t>
  </si>
  <si>
    <t>S00177</t>
  </si>
  <si>
    <t>F00178</t>
  </si>
  <si>
    <t>2026-09-01 14:50:00</t>
  </si>
  <si>
    <t>S00178</t>
  </si>
  <si>
    <t>F00179</t>
  </si>
  <si>
    <t>2026-09-01 14:55:00</t>
  </si>
  <si>
    <t>S00179</t>
  </si>
  <si>
    <t>F00180</t>
  </si>
  <si>
    <t>2026-09-01 15:00:00</t>
  </si>
  <si>
    <t>S00180</t>
  </si>
  <si>
    <t>F00181</t>
  </si>
  <si>
    <t>2026-09-01 15:05:00</t>
  </si>
  <si>
    <t>S00181</t>
  </si>
  <si>
    <t>F00182</t>
  </si>
  <si>
    <t>2026-09-01 15:10:00</t>
  </si>
  <si>
    <t>S00182</t>
  </si>
  <si>
    <t>F00183</t>
  </si>
  <si>
    <t>2026-09-01 15:15:00</t>
  </si>
  <si>
    <t>S00183</t>
  </si>
  <si>
    <t>F00184</t>
  </si>
  <si>
    <t>2026-09-01 15:20:00</t>
  </si>
  <si>
    <t>S00184</t>
  </si>
  <si>
    <t>F00185</t>
  </si>
  <si>
    <t>2026-09-01 15:25:00</t>
  </si>
  <si>
    <t>S00185</t>
  </si>
  <si>
    <t>F00186</t>
  </si>
  <si>
    <t>2026-09-01 15:30:00</t>
  </si>
  <si>
    <t>S00186</t>
  </si>
  <si>
    <t>F00187</t>
  </si>
  <si>
    <t>2026-09-01 15:35:00</t>
  </si>
  <si>
    <t>S00187</t>
  </si>
  <si>
    <t>F00188</t>
  </si>
  <si>
    <t>2026-09-01 15:40:00</t>
  </si>
  <si>
    <t>S00188</t>
  </si>
  <si>
    <t>F00189</t>
  </si>
  <si>
    <t>2026-09-01 15:45:00</t>
  </si>
  <si>
    <t>S00189</t>
  </si>
  <si>
    <t>F00190</t>
  </si>
  <si>
    <t>2026-09-01 15:50:00</t>
  </si>
  <si>
    <t>S00190</t>
  </si>
  <si>
    <t>F00191</t>
  </si>
  <si>
    <t>2026-09-01 15:55:00</t>
  </si>
  <si>
    <t>S00191</t>
  </si>
  <si>
    <t>F00192</t>
  </si>
  <si>
    <t>2026-09-01 16:00:00</t>
  </si>
  <si>
    <t>S00192</t>
  </si>
  <si>
    <t>F00193</t>
  </si>
  <si>
    <t>2026-09-01 16:05:00</t>
  </si>
  <si>
    <t>S00193</t>
  </si>
  <si>
    <t>F00194</t>
  </si>
  <si>
    <t>2026-09-01 16:10:00</t>
  </si>
  <si>
    <t>S00194</t>
  </si>
  <si>
    <t>F00195</t>
  </si>
  <si>
    <t>2026-09-01 16:15:00</t>
  </si>
  <si>
    <t>S00195</t>
  </si>
  <si>
    <t>F00196</t>
  </si>
  <si>
    <t>2026-09-01 16:20:00</t>
  </si>
  <si>
    <t>S00196</t>
  </si>
  <si>
    <t>F00197</t>
  </si>
  <si>
    <t>2026-09-01 16:25:00</t>
  </si>
  <si>
    <t>S00197</t>
  </si>
  <si>
    <t>F00198</t>
  </si>
  <si>
    <t>2026-09-01 16:30:00</t>
  </si>
  <si>
    <t>S00198</t>
  </si>
  <si>
    <t>F00199</t>
  </si>
  <si>
    <t>2026-09-01 16:35:00</t>
  </si>
  <si>
    <t>S00199</t>
  </si>
  <si>
    <t>F00200</t>
  </si>
  <si>
    <t>2026-09-01 16:40:00</t>
  </si>
  <si>
    <t>S00200</t>
  </si>
  <si>
    <t>F00201</t>
  </si>
  <si>
    <t>2026-09-01 16:45:00</t>
  </si>
  <si>
    <t>S00201</t>
  </si>
  <si>
    <t>F00202</t>
  </si>
  <si>
    <t>2026-09-01 16:50:00</t>
  </si>
  <si>
    <t>S00202</t>
  </si>
  <si>
    <t>F00203</t>
  </si>
  <si>
    <t>2026-09-01 16:55:00</t>
  </si>
  <si>
    <t>S00203</t>
  </si>
  <si>
    <t>F00204</t>
  </si>
  <si>
    <t>2026-09-01 17:00:00</t>
  </si>
  <si>
    <t>S00204</t>
  </si>
  <si>
    <t>F00205</t>
  </si>
  <si>
    <t>2026-09-01 17:05:00</t>
  </si>
  <si>
    <t>S00205</t>
  </si>
  <si>
    <t>F00206</t>
  </si>
  <si>
    <t>2026-09-01 17:10:00</t>
  </si>
  <si>
    <t>S00206</t>
  </si>
  <si>
    <t>F00207</t>
  </si>
  <si>
    <t>2026-09-01 17:15:00</t>
  </si>
  <si>
    <t>S00207</t>
  </si>
  <si>
    <t>F00208</t>
  </si>
  <si>
    <t>2026-09-01 17:20:00</t>
  </si>
  <si>
    <t>S00208</t>
  </si>
  <si>
    <t>F00209</t>
  </si>
  <si>
    <t>2026-09-01 17:25:00</t>
  </si>
  <si>
    <t>S00209</t>
  </si>
  <si>
    <t>F00210</t>
  </si>
  <si>
    <t>2026-09-01 17:30:00</t>
  </si>
  <si>
    <t>S00210</t>
  </si>
  <si>
    <t>F00211</t>
  </si>
  <si>
    <t>2026-09-01 17:35:00</t>
  </si>
  <si>
    <t>S00211</t>
  </si>
  <si>
    <t>F00212</t>
  </si>
  <si>
    <t>2026-09-01 17:40:00</t>
  </si>
  <si>
    <t>S00212</t>
  </si>
  <si>
    <t>F00213</t>
  </si>
  <si>
    <t>2026-09-01 17:45:00</t>
  </si>
  <si>
    <t>S00213</t>
  </si>
  <si>
    <t>F00214</t>
  </si>
  <si>
    <t>2026-09-01 17:50:00</t>
  </si>
  <si>
    <t>S00214</t>
  </si>
  <si>
    <t>F00215</t>
  </si>
  <si>
    <t>2026-09-01 17:55:00</t>
  </si>
  <si>
    <t>S00215</t>
  </si>
  <si>
    <t>F00216</t>
  </si>
  <si>
    <t>2026-09-01 18:00:00</t>
  </si>
  <si>
    <t>S00216</t>
  </si>
  <si>
    <t>F00217</t>
  </si>
  <si>
    <t>2026-09-01 18:05:00</t>
  </si>
  <si>
    <t>S00217</t>
  </si>
  <si>
    <t>F00218</t>
  </si>
  <si>
    <t>2026-09-01 18:10:00</t>
  </si>
  <si>
    <t>S00218</t>
  </si>
  <si>
    <t>F00219</t>
  </si>
  <si>
    <t>2026-09-01 18:15:00</t>
  </si>
  <si>
    <t>S00219</t>
  </si>
  <si>
    <t>F00220</t>
  </si>
  <si>
    <t>2026-09-01 18:20:00</t>
  </si>
  <si>
    <t>S00220</t>
  </si>
  <si>
    <t>F00221</t>
  </si>
  <si>
    <t>2026-09-01 18:25:00</t>
  </si>
  <si>
    <t>S00221</t>
  </si>
  <si>
    <t>F00222</t>
  </si>
  <si>
    <t>2026-09-01 18:30:00</t>
  </si>
  <si>
    <t>S00222</t>
  </si>
  <si>
    <t>F00223</t>
  </si>
  <si>
    <t>2026-09-01 18:35:00</t>
  </si>
  <si>
    <t>S00223</t>
  </si>
  <si>
    <t>F00224</t>
  </si>
  <si>
    <t>2026-09-01 18:40:00</t>
  </si>
  <si>
    <t>S00224</t>
  </si>
  <si>
    <t>F00225</t>
  </si>
  <si>
    <t>2026-09-01 18:45:00</t>
  </si>
  <si>
    <t>S00225</t>
  </si>
  <si>
    <t>F00226</t>
  </si>
  <si>
    <t>2026-09-01 18:50:00</t>
  </si>
  <si>
    <t>S00226</t>
  </si>
  <si>
    <t>F00227</t>
  </si>
  <si>
    <t>2026-09-01 18:55:00</t>
  </si>
  <si>
    <t>S00227</t>
  </si>
  <si>
    <t>F00228</t>
  </si>
  <si>
    <t>2026-09-01 19:00:00</t>
  </si>
  <si>
    <t>S00228</t>
  </si>
  <si>
    <t>F00229</t>
  </si>
  <si>
    <t>2026-09-01 19:05:00</t>
  </si>
  <si>
    <t>S00229</t>
  </si>
  <si>
    <t>F00230</t>
  </si>
  <si>
    <t>2026-09-01 19:10:00</t>
  </si>
  <si>
    <t>S00230</t>
  </si>
  <si>
    <t>F00231</t>
  </si>
  <si>
    <t>2026-09-01 19:15:00</t>
  </si>
  <si>
    <t>S00231</t>
  </si>
  <si>
    <t>F00232</t>
  </si>
  <si>
    <t>2026-09-01 19:20:00</t>
  </si>
  <si>
    <t>S00232</t>
  </si>
  <si>
    <t>F00233</t>
  </si>
  <si>
    <t>2026-09-01 19:25:00</t>
  </si>
  <si>
    <t>S00233</t>
  </si>
  <si>
    <t>F00234</t>
  </si>
  <si>
    <t>2026-09-01 19:30:00</t>
  </si>
  <si>
    <t>S00234</t>
  </si>
  <si>
    <t>F00235</t>
  </si>
  <si>
    <t>2026-09-01 19:35:00</t>
  </si>
  <si>
    <t>S00235</t>
  </si>
  <si>
    <t>F00236</t>
  </si>
  <si>
    <t>2026-09-01 19:40:00</t>
  </si>
  <si>
    <t>S00236</t>
  </si>
  <si>
    <t>F00237</t>
  </si>
  <si>
    <t>2026-09-01 19:45:00</t>
  </si>
  <si>
    <t>S00237</t>
  </si>
  <si>
    <t>F00238</t>
  </si>
  <si>
    <t>2026-09-01 19:50:00</t>
  </si>
  <si>
    <t>S00238</t>
  </si>
  <si>
    <t>F00239</t>
  </si>
  <si>
    <t>2026-09-01 19:55:00</t>
  </si>
  <si>
    <t>S00239</t>
  </si>
  <si>
    <t>F00240</t>
  </si>
  <si>
    <t>2026-09-01 20:00:00</t>
  </si>
  <si>
    <t>S00240</t>
  </si>
  <si>
    <t>F00241</t>
  </si>
  <si>
    <t>2026-09-01 20:05:00</t>
  </si>
  <si>
    <t>S00241</t>
  </si>
  <si>
    <t>F00242</t>
  </si>
  <si>
    <t>2026-09-01 20:10:00</t>
  </si>
  <si>
    <t>S00242</t>
  </si>
  <si>
    <t>F00243</t>
  </si>
  <si>
    <t>2026-09-01 20:15:00</t>
  </si>
  <si>
    <t>S00243</t>
  </si>
  <si>
    <t>F00244</t>
  </si>
  <si>
    <t>2026-09-01 20:20:00</t>
  </si>
  <si>
    <t>S00244</t>
  </si>
  <si>
    <t>F00245</t>
  </si>
  <si>
    <t>2026-09-01 20:25:00</t>
  </si>
  <si>
    <t>S00245</t>
  </si>
  <si>
    <t>F00246</t>
  </si>
  <si>
    <t>2026-09-01 20:30:00</t>
  </si>
  <si>
    <t>S00246</t>
  </si>
  <si>
    <t>F00247</t>
  </si>
  <si>
    <t>2026-09-01 20:35:00</t>
  </si>
  <si>
    <t>S00247</t>
  </si>
  <si>
    <t>F00248</t>
  </si>
  <si>
    <t>2026-09-01 20:40:00</t>
  </si>
  <si>
    <t>S00248</t>
  </si>
  <si>
    <t>F00249</t>
  </si>
  <si>
    <t>2026-09-01 20:45:00</t>
  </si>
  <si>
    <t>S00249</t>
  </si>
  <si>
    <t>F00250</t>
  </si>
  <si>
    <t>2026-09-01 20:50:00</t>
  </si>
  <si>
    <t>S00250</t>
  </si>
  <si>
    <t>F00251</t>
  </si>
  <si>
    <t>2026-09-01 20:55:00</t>
  </si>
  <si>
    <t>S00251</t>
  </si>
  <si>
    <t>F00252</t>
  </si>
  <si>
    <t>2026-09-01 21:00:00</t>
  </si>
  <si>
    <t>S00252</t>
  </si>
  <si>
    <t>F00253</t>
  </si>
  <si>
    <t>2026-09-01 21:05:00</t>
  </si>
  <si>
    <t>S00253</t>
  </si>
  <si>
    <t>F00254</t>
  </si>
  <si>
    <t>2026-09-01 21:10:00</t>
  </si>
  <si>
    <t>S00254</t>
  </si>
  <si>
    <t>F00255</t>
  </si>
  <si>
    <t>2026-09-01 21:15:00</t>
  </si>
  <si>
    <t>S00255</t>
  </si>
  <si>
    <t>F00256</t>
  </si>
  <si>
    <t>2026-09-01 21:20:00</t>
  </si>
  <si>
    <t>S00256</t>
  </si>
  <si>
    <t>F00257</t>
  </si>
  <si>
    <t>2026-09-01 21:25:00</t>
  </si>
  <si>
    <t>S00257</t>
  </si>
  <si>
    <t>F00258</t>
  </si>
  <si>
    <t>2026-09-01 21:30:00</t>
  </si>
  <si>
    <t>S00258</t>
  </si>
  <si>
    <t>F00259</t>
  </si>
  <si>
    <t>2026-09-01 21:35:00</t>
  </si>
  <si>
    <t>S00259</t>
  </si>
  <si>
    <t>F00260</t>
  </si>
  <si>
    <t>2026-09-01 21:40:00</t>
  </si>
  <si>
    <t>S00260</t>
  </si>
  <si>
    <t>F00261</t>
  </si>
  <si>
    <t>2026-09-01 21:45:00</t>
  </si>
  <si>
    <t>S00261</t>
  </si>
  <si>
    <t>F00262</t>
  </si>
  <si>
    <t>2026-09-01 21:50:00</t>
  </si>
  <si>
    <t>S00262</t>
  </si>
  <si>
    <t>F00263</t>
  </si>
  <si>
    <t>2026-09-01 21:55:00</t>
  </si>
  <si>
    <t>S00263</t>
  </si>
  <si>
    <t>F00264</t>
  </si>
  <si>
    <t>2026-09-01 22:00:00</t>
  </si>
  <si>
    <t>S00264</t>
  </si>
  <si>
    <t>F00265</t>
  </si>
  <si>
    <t>2026-09-01 22:05:00</t>
  </si>
  <si>
    <t>S00265</t>
  </si>
  <si>
    <t>F00266</t>
  </si>
  <si>
    <t>2026-09-01 22:10:00</t>
  </si>
  <si>
    <t>S00266</t>
  </si>
  <si>
    <t>F00267</t>
  </si>
  <si>
    <t>2026-09-01 22:15:00</t>
  </si>
  <si>
    <t>S00267</t>
  </si>
  <si>
    <t>F00268</t>
  </si>
  <si>
    <t>2026-09-01 22:20:00</t>
  </si>
  <si>
    <t>S00268</t>
  </si>
  <si>
    <t>F00269</t>
  </si>
  <si>
    <t>2026-09-01 22:25:00</t>
  </si>
  <si>
    <t>S00269</t>
  </si>
  <si>
    <t>F00270</t>
  </si>
  <si>
    <t>2026-09-01 22:30:00</t>
  </si>
  <si>
    <t>S00270</t>
  </si>
  <si>
    <t>F00271</t>
  </si>
  <si>
    <t>2026-09-01 22:35:00</t>
  </si>
  <si>
    <t>S00271</t>
  </si>
  <si>
    <t>F00272</t>
  </si>
  <si>
    <t>2026-09-01 22:40:00</t>
  </si>
  <si>
    <t>S00272</t>
  </si>
  <si>
    <t>F00273</t>
  </si>
  <si>
    <t>2026-09-01 22:45:00</t>
  </si>
  <si>
    <t>S00273</t>
  </si>
  <si>
    <t>F00274</t>
  </si>
  <si>
    <t>2026-09-01 22:50:00</t>
  </si>
  <si>
    <t>S00274</t>
  </si>
  <si>
    <t>F00275</t>
  </si>
  <si>
    <t>2026-09-01 22:55:00</t>
  </si>
  <si>
    <t>S00275</t>
  </si>
  <si>
    <t>F00276</t>
  </si>
  <si>
    <t>2026-09-01 23:00:00</t>
  </si>
  <si>
    <t>S00276</t>
  </si>
  <si>
    <t>F00277</t>
  </si>
  <si>
    <t>2026-09-01 23:05:00</t>
  </si>
  <si>
    <t>S00277</t>
  </si>
  <si>
    <t>F00278</t>
  </si>
  <si>
    <t>2026-09-01 23:10:00</t>
  </si>
  <si>
    <t>S00278</t>
  </si>
  <si>
    <t>F00279</t>
  </si>
  <si>
    <t>2026-09-01 23:15:00</t>
  </si>
  <si>
    <t>S00279</t>
  </si>
  <si>
    <t>F00280</t>
  </si>
  <si>
    <t>2026-09-01 23:20:00</t>
  </si>
  <si>
    <t>S00280</t>
  </si>
  <si>
    <t>F00281</t>
  </si>
  <si>
    <t>2026-09-01 23:25:00</t>
  </si>
  <si>
    <t>S00281</t>
  </si>
  <si>
    <t>F00282</t>
  </si>
  <si>
    <t>2026-09-01 23:30:00</t>
  </si>
  <si>
    <t>S00282</t>
  </si>
  <si>
    <t>F00283</t>
  </si>
  <si>
    <t>2026-09-01 23:35:00</t>
  </si>
  <si>
    <t>S00283</t>
  </si>
  <si>
    <t>F00284</t>
  </si>
  <si>
    <t>2026-09-01 23:40:00</t>
  </si>
  <si>
    <t>S00284</t>
  </si>
  <si>
    <t>F00285</t>
  </si>
  <si>
    <t>2026-09-01 23:45:00</t>
  </si>
  <si>
    <t>S00285</t>
  </si>
  <si>
    <t>F00286</t>
  </si>
  <si>
    <t>2026-09-01 23:50:00</t>
  </si>
  <si>
    <t>S00286</t>
  </si>
  <si>
    <t>F00287</t>
  </si>
  <si>
    <t>2026-09-01 23:55:00</t>
  </si>
  <si>
    <t>S00287</t>
  </si>
  <si>
    <t>F00288</t>
  </si>
  <si>
    <t>2026-09-02 00:00:00</t>
  </si>
  <si>
    <t>S00288</t>
  </si>
  <si>
    <t>F00289</t>
  </si>
  <si>
    <t>2026-09-02 00:05:00</t>
  </si>
  <si>
    <t>S00289</t>
  </si>
  <si>
    <t>F00290</t>
  </si>
  <si>
    <t>2026-09-02 00:10:00</t>
  </si>
  <si>
    <t>S00290</t>
  </si>
  <si>
    <t>F00291</t>
  </si>
  <si>
    <t>2026-09-02 00:15:00</t>
  </si>
  <si>
    <t>S00291</t>
  </si>
  <si>
    <t>F00292</t>
  </si>
  <si>
    <t>2026-09-02 00:20:00</t>
  </si>
  <si>
    <t>S00292</t>
  </si>
  <si>
    <t>F00293</t>
  </si>
  <si>
    <t>2026-09-02 00:25:00</t>
  </si>
  <si>
    <t>S00293</t>
  </si>
  <si>
    <t>F00294</t>
  </si>
  <si>
    <t>2026-09-02 00:30:00</t>
  </si>
  <si>
    <t>S00294</t>
  </si>
  <si>
    <t>F00295</t>
  </si>
  <si>
    <t>2026-09-02 00:35:00</t>
  </si>
  <si>
    <t>S00295</t>
  </si>
  <si>
    <t>F00296</t>
  </si>
  <si>
    <t>2026-09-02 00:40:00</t>
  </si>
  <si>
    <t>S00296</t>
  </si>
  <si>
    <t>F00297</t>
  </si>
  <si>
    <t>2026-09-02 00:45:00</t>
  </si>
  <si>
    <t>S00297</t>
  </si>
  <si>
    <t>F00298</t>
  </si>
  <si>
    <t>2026-09-02 00:50:00</t>
  </si>
  <si>
    <t>S00298</t>
  </si>
  <si>
    <t>F00299</t>
  </si>
  <si>
    <t>2026-09-02 00:55:00</t>
  </si>
  <si>
    <t>S00299</t>
  </si>
  <si>
    <t>F00300</t>
  </si>
  <si>
    <t>2026-09-02 01:00:00</t>
  </si>
  <si>
    <t>S00300</t>
  </si>
  <si>
    <t>F00301</t>
  </si>
  <si>
    <t>2026-09-02 01:05:00</t>
  </si>
  <si>
    <t>S00301</t>
  </si>
  <si>
    <t>F00302</t>
  </si>
  <si>
    <t>2026-09-02 01:10:00</t>
  </si>
  <si>
    <t>S00302</t>
  </si>
  <si>
    <t>F00303</t>
  </si>
  <si>
    <t>2026-09-02 01:15:00</t>
  </si>
  <si>
    <t>S00303</t>
  </si>
  <si>
    <t>F00304</t>
  </si>
  <si>
    <t>2026-09-02 01:20:00</t>
  </si>
  <si>
    <t>S00304</t>
  </si>
  <si>
    <t>F00305</t>
  </si>
  <si>
    <t>2026-09-02 01:25:00</t>
  </si>
  <si>
    <t>S00305</t>
  </si>
  <si>
    <t>F00306</t>
  </si>
  <si>
    <t>2026-09-02 01:30:00</t>
  </si>
  <si>
    <t>S00306</t>
  </si>
  <si>
    <t>F00307</t>
  </si>
  <si>
    <t>2026-09-02 01:35:00</t>
  </si>
  <si>
    <t>S00307</t>
  </si>
  <si>
    <t>F00308</t>
  </si>
  <si>
    <t>2026-09-02 01:40:00</t>
  </si>
  <si>
    <t>S00308</t>
  </si>
  <si>
    <t>F00309</t>
  </si>
  <si>
    <t>2026-09-02 01:45:00</t>
  </si>
  <si>
    <t>S00309</t>
  </si>
  <si>
    <t>F00310</t>
  </si>
  <si>
    <t>2026-09-02 01:50:00</t>
  </si>
  <si>
    <t>S00310</t>
  </si>
  <si>
    <t>F00311</t>
  </si>
  <si>
    <t>2026-09-02 01:55:00</t>
  </si>
  <si>
    <t>S00311</t>
  </si>
  <si>
    <t>F00312</t>
  </si>
  <si>
    <t>2026-09-02 02:00:00</t>
  </si>
  <si>
    <t>S00312</t>
  </si>
  <si>
    <t>F00313</t>
  </si>
  <si>
    <t>2026-09-02 02:05:00</t>
  </si>
  <si>
    <t>S00313</t>
  </si>
  <si>
    <t>F00314</t>
  </si>
  <si>
    <t>2026-09-02 02:10:00</t>
  </si>
  <si>
    <t>S00314</t>
  </si>
  <si>
    <t>F00315</t>
  </si>
  <si>
    <t>2026-09-02 02:15:00</t>
  </si>
  <si>
    <t>S00315</t>
  </si>
  <si>
    <t>F00316</t>
  </si>
  <si>
    <t>2026-09-02 02:20:00</t>
  </si>
  <si>
    <t>S00316</t>
  </si>
  <si>
    <t>F00317</t>
  </si>
  <si>
    <t>2026-09-02 02:25:00</t>
  </si>
  <si>
    <t>S00317</t>
  </si>
  <si>
    <t>F00318</t>
  </si>
  <si>
    <t>2026-09-02 02:30:00</t>
  </si>
  <si>
    <t>S00318</t>
  </si>
  <si>
    <t>F00319</t>
  </si>
  <si>
    <t>2026-09-02 02:35:00</t>
  </si>
  <si>
    <t>S00319</t>
  </si>
  <si>
    <t>F00320</t>
  </si>
  <si>
    <t>2026-09-02 02:40:00</t>
  </si>
  <si>
    <t>S00320</t>
  </si>
  <si>
    <t>F00321</t>
  </si>
  <si>
    <t>2026-09-02 02:45:00</t>
  </si>
  <si>
    <t>S00321</t>
  </si>
  <si>
    <t>F00322</t>
  </si>
  <si>
    <t>2026-09-02 02:50:00</t>
  </si>
  <si>
    <t>S00322</t>
  </si>
  <si>
    <t>F00323</t>
  </si>
  <si>
    <t>2026-09-02 02:55:00</t>
  </si>
  <si>
    <t>S00323</t>
  </si>
  <si>
    <t>F00324</t>
  </si>
  <si>
    <t>2026-09-02 03:00:00</t>
  </si>
  <si>
    <t>S00324</t>
  </si>
  <si>
    <t>F00325</t>
  </si>
  <si>
    <t>2026-09-02 03:05:00</t>
  </si>
  <si>
    <t>S00325</t>
  </si>
  <si>
    <t>F00326</t>
  </si>
  <si>
    <t>2026-09-02 03:10:00</t>
  </si>
  <si>
    <t>S00326</t>
  </si>
  <si>
    <t>F00327</t>
  </si>
  <si>
    <t>2026-09-02 03:15:00</t>
  </si>
  <si>
    <t>S00327</t>
  </si>
  <si>
    <t>F00328</t>
  </si>
  <si>
    <t>2026-09-02 03:20:00</t>
  </si>
  <si>
    <t>S00328</t>
  </si>
  <si>
    <t>F00329</t>
  </si>
  <si>
    <t>2026-09-02 03:25:00</t>
  </si>
  <si>
    <t>S00329</t>
  </si>
  <si>
    <t>F00330</t>
  </si>
  <si>
    <t>2026-09-02 03:30:00</t>
  </si>
  <si>
    <t>S00330</t>
  </si>
  <si>
    <t>F00331</t>
  </si>
  <si>
    <t>2026-09-02 03:35:00</t>
  </si>
  <si>
    <t>S00331</t>
  </si>
  <si>
    <t>F00332</t>
  </si>
  <si>
    <t>2026-09-02 03:40:00</t>
  </si>
  <si>
    <t>S00332</t>
  </si>
  <si>
    <t>F00333</t>
  </si>
  <si>
    <t>2026-09-02 03:45:00</t>
  </si>
  <si>
    <t>S00333</t>
  </si>
  <si>
    <t>F00334</t>
  </si>
  <si>
    <t>2026-09-02 03:50:00</t>
  </si>
  <si>
    <t>S00334</t>
  </si>
  <si>
    <t>F00335</t>
  </si>
  <si>
    <t>2026-09-02 03:55:00</t>
  </si>
  <si>
    <t>S00335</t>
  </si>
  <si>
    <t>F00336</t>
  </si>
  <si>
    <t>2026-09-02 04:00:00</t>
  </si>
  <si>
    <t>S00336</t>
  </si>
  <si>
    <t>F00337</t>
  </si>
  <si>
    <t>2026-09-02 04:05:00</t>
  </si>
  <si>
    <t>S00337</t>
  </si>
  <si>
    <t>F00338</t>
  </si>
  <si>
    <t>2026-09-02 04:10:00</t>
  </si>
  <si>
    <t>S00338</t>
  </si>
  <si>
    <t>F00339</t>
  </si>
  <si>
    <t>2026-09-02 04:15:00</t>
  </si>
  <si>
    <t>S00339</t>
  </si>
  <si>
    <t>F00340</t>
  </si>
  <si>
    <t>2026-09-02 04:20:00</t>
  </si>
  <si>
    <t>S00340</t>
  </si>
  <si>
    <t>F00341</t>
  </si>
  <si>
    <t>2026-09-02 04:25:00</t>
  </si>
  <si>
    <t>S00341</t>
  </si>
  <si>
    <t>F00342</t>
  </si>
  <si>
    <t>2026-09-02 04:30:00</t>
  </si>
  <si>
    <t>S00342</t>
  </si>
  <si>
    <t>F00343</t>
  </si>
  <si>
    <t>2026-09-02 04:35:00</t>
  </si>
  <si>
    <t>S00343</t>
  </si>
  <si>
    <t>F00344</t>
  </si>
  <si>
    <t>2026-09-02 04:40:00</t>
  </si>
  <si>
    <t>S00344</t>
  </si>
  <si>
    <t>F00345</t>
  </si>
  <si>
    <t>2026-09-02 04:45:00</t>
  </si>
  <si>
    <t>S00345</t>
  </si>
  <si>
    <t>F00346</t>
  </si>
  <si>
    <t>2026-09-02 04:50:00</t>
  </si>
  <si>
    <t>S00346</t>
  </si>
  <si>
    <t>F00347</t>
  </si>
  <si>
    <t>2026-09-02 04:55:00</t>
  </si>
  <si>
    <t>S00347</t>
  </si>
  <si>
    <t>F00348</t>
  </si>
  <si>
    <t>2026-09-02 05:00:00</t>
  </si>
  <si>
    <t>S00348</t>
  </si>
  <si>
    <t>F00349</t>
  </si>
  <si>
    <t>2026-09-02 05:05:00</t>
  </si>
  <si>
    <t>S00349</t>
  </si>
  <si>
    <t>F00350</t>
  </si>
  <si>
    <t>2026-09-02 05:10:00</t>
  </si>
  <si>
    <t>S00350</t>
  </si>
  <si>
    <t>F00351</t>
  </si>
  <si>
    <t>2026-09-02 05:15:00</t>
  </si>
  <si>
    <t>S00351</t>
  </si>
  <si>
    <t>F00352</t>
  </si>
  <si>
    <t>2026-09-02 05:20:00</t>
  </si>
  <si>
    <t>S00352</t>
  </si>
  <si>
    <t>F00353</t>
  </si>
  <si>
    <t>2026-09-02 05:25:00</t>
  </si>
  <si>
    <t>S00353</t>
  </si>
  <si>
    <t>F00354</t>
  </si>
  <si>
    <t>2026-09-02 05:30:00</t>
  </si>
  <si>
    <t>S00354</t>
  </si>
  <si>
    <t>F00355</t>
  </si>
  <si>
    <t>2026-09-02 05:35:00</t>
  </si>
  <si>
    <t>S00355</t>
  </si>
  <si>
    <t>F00356</t>
  </si>
  <si>
    <t>2026-09-02 05:40:00</t>
  </si>
  <si>
    <t>S00356</t>
  </si>
  <si>
    <t>F00357</t>
  </si>
  <si>
    <t>2026-09-02 05:45:00</t>
  </si>
  <si>
    <t>S00357</t>
  </si>
  <si>
    <t>F00358</t>
  </si>
  <si>
    <t>2026-09-02 05:50:00</t>
  </si>
  <si>
    <t>S00358</t>
  </si>
  <si>
    <t>F00359</t>
  </si>
  <si>
    <t>2026-09-02 05:55:00</t>
  </si>
  <si>
    <t>S00359</t>
  </si>
  <si>
    <t>F00360</t>
  </si>
  <si>
    <t>2026-09-02 06:00:00</t>
  </si>
  <si>
    <t>S00360</t>
  </si>
  <si>
    <t>F00361</t>
  </si>
  <si>
    <t>2026-09-02 06:05:00</t>
  </si>
  <si>
    <t>S00361</t>
  </si>
  <si>
    <t>F00362</t>
  </si>
  <si>
    <t>2026-09-02 06:10:00</t>
  </si>
  <si>
    <t>S00362</t>
  </si>
  <si>
    <t>F00363</t>
  </si>
  <si>
    <t>2026-09-02 06:15:00</t>
  </si>
  <si>
    <t>S00363</t>
  </si>
  <si>
    <t>F00364</t>
  </si>
  <si>
    <t>2026-09-02 06:20:00</t>
  </si>
  <si>
    <t>S00364</t>
  </si>
  <si>
    <t>F00365</t>
  </si>
  <si>
    <t>2026-09-02 06:25:00</t>
  </si>
  <si>
    <t>S00365</t>
  </si>
  <si>
    <t>F00366</t>
  </si>
  <si>
    <t>2026-09-02 06:30:00</t>
  </si>
  <si>
    <t>S00366</t>
  </si>
  <si>
    <t>F00367</t>
  </si>
  <si>
    <t>2026-09-02 06:35:00</t>
  </si>
  <si>
    <t>S00367</t>
  </si>
  <si>
    <t>F00368</t>
  </si>
  <si>
    <t>2026-09-02 06:40:00</t>
  </si>
  <si>
    <t>S00368</t>
  </si>
  <si>
    <t>F00369</t>
  </si>
  <si>
    <t>2026-09-02 06:45:00</t>
  </si>
  <si>
    <t>S00369</t>
  </si>
  <si>
    <t>F00370</t>
  </si>
  <si>
    <t>2026-09-02 06:50:00</t>
  </si>
  <si>
    <t>S00370</t>
  </si>
  <si>
    <t>F00371</t>
  </si>
  <si>
    <t>2026-09-02 06:55:00</t>
  </si>
  <si>
    <t>S00371</t>
  </si>
  <si>
    <t>F00372</t>
  </si>
  <si>
    <t>2026-09-02 07:00:00</t>
  </si>
  <si>
    <t>S00372</t>
  </si>
  <si>
    <t>F00373</t>
  </si>
  <si>
    <t>2026-09-02 07:05:00</t>
  </si>
  <si>
    <t>S00373</t>
  </si>
  <si>
    <t>F00374</t>
  </si>
  <si>
    <t>2026-09-02 07:10:00</t>
  </si>
  <si>
    <t>S00374</t>
  </si>
  <si>
    <t>F00375</t>
  </si>
  <si>
    <t>2026-09-02 07:15:00</t>
  </si>
  <si>
    <t>S00375</t>
  </si>
  <si>
    <t>F00376</t>
  </si>
  <si>
    <t>2026-09-02 07:20:00</t>
  </si>
  <si>
    <t>S00376</t>
  </si>
  <si>
    <t>F00377</t>
  </si>
  <si>
    <t>2026-09-02 07:25:00</t>
  </si>
  <si>
    <t>S00377</t>
  </si>
  <si>
    <t>F00378</t>
  </si>
  <si>
    <t>2026-09-02 07:30:00</t>
  </si>
  <si>
    <t>S00378</t>
  </si>
  <si>
    <t>F00379</t>
  </si>
  <si>
    <t>2026-09-02 07:35:00</t>
  </si>
  <si>
    <t>S00379</t>
  </si>
  <si>
    <t>F00380</t>
  </si>
  <si>
    <t>2026-09-02 07:40:00</t>
  </si>
  <si>
    <t>S00380</t>
  </si>
  <si>
    <t>F00381</t>
  </si>
  <si>
    <t>2026-09-02 07:45:00</t>
  </si>
  <si>
    <t>S00381</t>
  </si>
  <si>
    <t>F00382</t>
  </si>
  <si>
    <t>2026-09-02 07:50:00</t>
  </si>
  <si>
    <t>S00382</t>
  </si>
  <si>
    <t>F00383</t>
  </si>
  <si>
    <t>2026-09-02 07:55:00</t>
  </si>
  <si>
    <t>S00383</t>
  </si>
  <si>
    <t>F00384</t>
  </si>
  <si>
    <t>2026-09-02 08:00:00</t>
  </si>
  <si>
    <t>S00384</t>
  </si>
  <si>
    <t>F00385</t>
  </si>
  <si>
    <t>2026-09-02 08:05:00</t>
  </si>
  <si>
    <t>S00385</t>
  </si>
  <si>
    <t>F00386</t>
  </si>
  <si>
    <t>2026-09-02 08:10:00</t>
  </si>
  <si>
    <t>S00386</t>
  </si>
  <si>
    <t>F00387</t>
  </si>
  <si>
    <t>2026-09-02 08:15:00</t>
  </si>
  <si>
    <t>S00387</t>
  </si>
  <si>
    <t>F00388</t>
  </si>
  <si>
    <t>2026-09-02 08:20:00</t>
  </si>
  <si>
    <t>S00388</t>
  </si>
  <si>
    <t>F00389</t>
  </si>
  <si>
    <t>2026-09-02 08:25:00</t>
  </si>
  <si>
    <t>S00389</t>
  </si>
  <si>
    <t>F00390</t>
  </si>
  <si>
    <t>2026-09-02 08:30:00</t>
  </si>
  <si>
    <t>S00390</t>
  </si>
  <si>
    <t>F00391</t>
  </si>
  <si>
    <t>2026-09-02 08:35:00</t>
  </si>
  <si>
    <t>S00391</t>
  </si>
  <si>
    <t>F00392</t>
  </si>
  <si>
    <t>2026-09-02 08:40:00</t>
  </si>
  <si>
    <t>S00392</t>
  </si>
  <si>
    <t>F00393</t>
  </si>
  <si>
    <t>2026-09-02 08:45:00</t>
  </si>
  <si>
    <t>S00393</t>
  </si>
  <si>
    <t>F00394</t>
  </si>
  <si>
    <t>2026-09-02 08:50:00</t>
  </si>
  <si>
    <t>S00394</t>
  </si>
  <si>
    <t>F00395</t>
  </si>
  <si>
    <t>2026-09-02 08:55:00</t>
  </si>
  <si>
    <t>S00395</t>
  </si>
  <si>
    <t>F00396</t>
  </si>
  <si>
    <t>2026-09-02 09:00:00</t>
  </si>
  <si>
    <t>S00396</t>
  </si>
  <si>
    <t>F00397</t>
  </si>
  <si>
    <t>2026-09-02 09:05:00</t>
  </si>
  <si>
    <t>S00397</t>
  </si>
  <si>
    <t>F00398</t>
  </si>
  <si>
    <t>2026-09-02 09:10:00</t>
  </si>
  <si>
    <t>S00398</t>
  </si>
  <si>
    <t>F00399</t>
  </si>
  <si>
    <t>2026-09-02 09:15:00</t>
  </si>
  <si>
    <t>S00399</t>
  </si>
  <si>
    <t>F00400</t>
  </si>
  <si>
    <t>2026-09-02 09:20:00</t>
  </si>
  <si>
    <t>S00400</t>
  </si>
  <si>
    <t>F00401</t>
  </si>
  <si>
    <t>2026-09-02 09:25:00</t>
  </si>
  <si>
    <t>S00401</t>
  </si>
  <si>
    <t>F00402</t>
  </si>
  <si>
    <t>2026-09-02 09:30:00</t>
  </si>
  <si>
    <t>S00402</t>
  </si>
  <si>
    <t>F00403</t>
  </si>
  <si>
    <t>2026-09-02 09:35:00</t>
  </si>
  <si>
    <t>S00403</t>
  </si>
  <si>
    <t>F00404</t>
  </si>
  <si>
    <t>2026-09-02 09:40:00</t>
  </si>
  <si>
    <t>S00404</t>
  </si>
  <si>
    <t>F00405</t>
  </si>
  <si>
    <t>2026-09-02 09:45:00</t>
  </si>
  <si>
    <t>S00405</t>
  </si>
  <si>
    <t>F00406</t>
  </si>
  <si>
    <t>2026-09-02 09:50:00</t>
  </si>
  <si>
    <t>S00406</t>
  </si>
  <si>
    <t>F00407</t>
  </si>
  <si>
    <t>2026-09-02 09:55:00</t>
  </si>
  <si>
    <t>S00407</t>
  </si>
  <si>
    <t>F00408</t>
  </si>
  <si>
    <t>2026-09-02 10:00:00</t>
  </si>
  <si>
    <t>S00408</t>
  </si>
  <si>
    <t>F00409</t>
  </si>
  <si>
    <t>2026-09-02 10:05:00</t>
  </si>
  <si>
    <t>S00409</t>
  </si>
  <si>
    <t>F00410</t>
  </si>
  <si>
    <t>2026-09-02 10:10:00</t>
  </si>
  <si>
    <t>S00410</t>
  </si>
  <si>
    <t>F00411</t>
  </si>
  <si>
    <t>2026-09-02 10:15:00</t>
  </si>
  <si>
    <t>S00411</t>
  </si>
  <si>
    <t>F00412</t>
  </si>
  <si>
    <t>2026-09-02 10:20:00</t>
  </si>
  <si>
    <t>S00412</t>
  </si>
  <si>
    <t>F00413</t>
  </si>
  <si>
    <t>2026-09-02 10:25:00</t>
  </si>
  <si>
    <t>S00413</t>
  </si>
  <si>
    <t>F00414</t>
  </si>
  <si>
    <t>2026-09-02 10:30:00</t>
  </si>
  <si>
    <t>S00414</t>
  </si>
  <si>
    <t>F00415</t>
  </si>
  <si>
    <t>2026-09-02 10:35:00</t>
  </si>
  <si>
    <t>S00415</t>
  </si>
  <si>
    <t>F00416</t>
  </si>
  <si>
    <t>2026-09-02 10:40:00</t>
  </si>
  <si>
    <t>S00416</t>
  </si>
  <si>
    <t>F00417</t>
  </si>
  <si>
    <t>2026-09-02 10:45:00</t>
  </si>
  <si>
    <t>S00417</t>
  </si>
  <si>
    <t>F00418</t>
  </si>
  <si>
    <t>2026-09-02 10:50:00</t>
  </si>
  <si>
    <t>S00418</t>
  </si>
  <si>
    <t>F00419</t>
  </si>
  <si>
    <t>2026-09-02 10:55:00</t>
  </si>
  <si>
    <t>S00419</t>
  </si>
  <si>
    <t>F00420</t>
  </si>
  <si>
    <t>2026-09-02 11:00:00</t>
  </si>
  <si>
    <t>S00420</t>
  </si>
  <si>
    <t>F00421</t>
  </si>
  <si>
    <t>2026-09-02 11:05:00</t>
  </si>
  <si>
    <t>S00421</t>
  </si>
  <si>
    <t>F00422</t>
  </si>
  <si>
    <t>2026-09-02 11:10:00</t>
  </si>
  <si>
    <t>S00422</t>
  </si>
  <si>
    <t>F00423</t>
  </si>
  <si>
    <t>2026-09-02 11:15:00</t>
  </si>
  <si>
    <t>S00423</t>
  </si>
  <si>
    <t>F00424</t>
  </si>
  <si>
    <t>2026-09-02 11:20:00</t>
  </si>
  <si>
    <t>S00424</t>
  </si>
  <si>
    <t>F00425</t>
  </si>
  <si>
    <t>2026-09-02 11:25:00</t>
  </si>
  <si>
    <t>S00425</t>
  </si>
  <si>
    <t>F00426</t>
  </si>
  <si>
    <t>2026-09-02 11:30:00</t>
  </si>
  <si>
    <t>S00426</t>
  </si>
  <si>
    <t>F00427</t>
  </si>
  <si>
    <t>2026-09-02 11:35:00</t>
  </si>
  <si>
    <t>S00427</t>
  </si>
  <si>
    <t>F00428</t>
  </si>
  <si>
    <t>2026-09-02 11:40:00</t>
  </si>
  <si>
    <t>S00428</t>
  </si>
  <si>
    <t>F00429</t>
  </si>
  <si>
    <t>2026-09-02 11:45:00</t>
  </si>
  <si>
    <t>S00429</t>
  </si>
  <si>
    <t>F00430</t>
  </si>
  <si>
    <t>2026-09-02 11:50:00</t>
  </si>
  <si>
    <t>S00430</t>
  </si>
  <si>
    <t>F00431</t>
  </si>
  <si>
    <t>2026-09-02 11:55:00</t>
  </si>
  <si>
    <t>S00431</t>
  </si>
  <si>
    <t>F00432</t>
  </si>
  <si>
    <t>2026-09-02 12:00:00</t>
  </si>
  <si>
    <t>S00432</t>
  </si>
  <si>
    <t>F00433</t>
  </si>
  <si>
    <t>2026-09-02 12:05:00</t>
  </si>
  <si>
    <t>S00433</t>
  </si>
  <si>
    <t>F00434</t>
  </si>
  <si>
    <t>2026-09-02 12:10:00</t>
  </si>
  <si>
    <t>S00434</t>
  </si>
  <si>
    <t>F00435</t>
  </si>
  <si>
    <t>2026-09-02 12:15:00</t>
  </si>
  <si>
    <t>S00435</t>
  </si>
  <si>
    <t>F00436</t>
  </si>
  <si>
    <t>2026-09-02 12:20:00</t>
  </si>
  <si>
    <t>S00436</t>
  </si>
  <si>
    <t>F00437</t>
  </si>
  <si>
    <t>2026-09-02 12:25:00</t>
  </si>
  <si>
    <t>S00437</t>
  </si>
  <si>
    <t>F00438</t>
  </si>
  <si>
    <t>2026-09-02 12:30:00</t>
  </si>
  <si>
    <t>S00438</t>
  </si>
  <si>
    <t>F00439</t>
  </si>
  <si>
    <t>2026-09-02 12:35:00</t>
  </si>
  <si>
    <t>S00439</t>
  </si>
  <si>
    <t>F00440</t>
  </si>
  <si>
    <t>2026-09-02 12:40:00</t>
  </si>
  <si>
    <t>S00440</t>
  </si>
  <si>
    <t>F00441</t>
  </si>
  <si>
    <t>2026-09-02 12:45:00</t>
  </si>
  <si>
    <t>S00441</t>
  </si>
  <si>
    <t>F00442</t>
  </si>
  <si>
    <t>2026-09-02 12:50:00</t>
  </si>
  <si>
    <t>S00442</t>
  </si>
  <si>
    <t>F00443</t>
  </si>
  <si>
    <t>2026-09-02 12:55:00</t>
  </si>
  <si>
    <t>S00443</t>
  </si>
  <si>
    <t>F00444</t>
  </si>
  <si>
    <t>2026-09-02 13:00:00</t>
  </si>
  <si>
    <t>S00444</t>
  </si>
  <si>
    <t>F00445</t>
  </si>
  <si>
    <t>2026-09-02 13:05:00</t>
  </si>
  <si>
    <t>S00445</t>
  </si>
  <si>
    <t>F00446</t>
  </si>
  <si>
    <t>2026-09-02 13:10:00</t>
  </si>
  <si>
    <t>S00446</t>
  </si>
  <si>
    <t>F00447</t>
  </si>
  <si>
    <t>2026-09-02 13:15:00</t>
  </si>
  <si>
    <t>S00447</t>
  </si>
  <si>
    <t>F00448</t>
  </si>
  <si>
    <t>2026-09-02 13:20:00</t>
  </si>
  <si>
    <t>S00448</t>
  </si>
  <si>
    <t>F00449</t>
  </si>
  <si>
    <t>2026-09-02 13:25:00</t>
  </si>
  <si>
    <t>S00449</t>
  </si>
  <si>
    <t>F00450</t>
  </si>
  <si>
    <t>2026-09-02 13:30:00</t>
  </si>
  <si>
    <t>S00450</t>
  </si>
  <si>
    <t>F00451</t>
  </si>
  <si>
    <t>2026-09-02 13:35:00</t>
  </si>
  <si>
    <t>S00451</t>
  </si>
  <si>
    <t>F00452</t>
  </si>
  <si>
    <t>2026-09-02 13:40:00</t>
  </si>
  <si>
    <t>S00452</t>
  </si>
  <si>
    <t>F00453</t>
  </si>
  <si>
    <t>2026-09-02 13:45:00</t>
  </si>
  <si>
    <t>S00453</t>
  </si>
  <si>
    <t>F00454</t>
  </si>
  <si>
    <t>2026-09-02 13:50:00</t>
  </si>
  <si>
    <t>S00454</t>
  </si>
  <si>
    <t>F00455</t>
  </si>
  <si>
    <t>2026-09-02 13:55:00</t>
  </si>
  <si>
    <t>S00455</t>
  </si>
  <si>
    <t>F00456</t>
  </si>
  <si>
    <t>2026-09-02 14:00:00</t>
  </si>
  <si>
    <t>S00456</t>
  </si>
  <si>
    <t>F00457</t>
  </si>
  <si>
    <t>2026-09-02 14:05:00</t>
  </si>
  <si>
    <t>S00457</t>
  </si>
  <si>
    <t>F00458</t>
  </si>
  <si>
    <t>2026-09-02 14:10:00</t>
  </si>
  <si>
    <t>S00458</t>
  </si>
  <si>
    <t>F00459</t>
  </si>
  <si>
    <t>2026-09-02 14:15:00</t>
  </si>
  <si>
    <t>S00459</t>
  </si>
  <si>
    <t>F00460</t>
  </si>
  <si>
    <t>2026-09-02 14:20:00</t>
  </si>
  <si>
    <t>S00460</t>
  </si>
  <si>
    <t>F00461</t>
  </si>
  <si>
    <t>2026-09-02 14:25:00</t>
  </si>
  <si>
    <t>S00461</t>
  </si>
  <si>
    <t>F00462</t>
  </si>
  <si>
    <t>2026-09-02 14:30:00</t>
  </si>
  <si>
    <t>S00462</t>
  </si>
  <si>
    <t>F00463</t>
  </si>
  <si>
    <t>2026-09-02 14:35:00</t>
  </si>
  <si>
    <t>S00463</t>
  </si>
  <si>
    <t>F00464</t>
  </si>
  <si>
    <t>2026-09-02 14:40:00</t>
  </si>
  <si>
    <t>S00464</t>
  </si>
  <si>
    <t>F00465</t>
  </si>
  <si>
    <t>2026-09-02 14:45:00</t>
  </si>
  <si>
    <t>S00465</t>
  </si>
  <si>
    <t>F00466</t>
  </si>
  <si>
    <t>2026-09-02 14:50:00</t>
  </si>
  <si>
    <t>S00466</t>
  </si>
  <si>
    <t>F00467</t>
  </si>
  <si>
    <t>2026-09-02 14:55:00</t>
  </si>
  <si>
    <t>S00467</t>
  </si>
  <si>
    <t>F00468</t>
  </si>
  <si>
    <t>2026-09-02 15:00:00</t>
  </si>
  <si>
    <t>S00468</t>
  </si>
  <si>
    <t>F00469</t>
  </si>
  <si>
    <t>2026-09-02 15:05:00</t>
  </si>
  <si>
    <t>S00469</t>
  </si>
  <si>
    <t>F00470</t>
  </si>
  <si>
    <t>2026-09-02 15:10:00</t>
  </si>
  <si>
    <t>S00470</t>
  </si>
  <si>
    <t>F00471</t>
  </si>
  <si>
    <t>2026-09-02 15:15:00</t>
  </si>
  <si>
    <t>S00471</t>
  </si>
  <si>
    <t>F00472</t>
  </si>
  <si>
    <t>2026-09-02 15:20:00</t>
  </si>
  <si>
    <t>S00472</t>
  </si>
  <si>
    <t>F00473</t>
  </si>
  <si>
    <t>2026-09-02 15:25:00</t>
  </si>
  <si>
    <t>S00473</t>
  </si>
  <si>
    <t>F00474</t>
  </si>
  <si>
    <t>2026-09-02 15:30:00</t>
  </si>
  <si>
    <t>S00474</t>
  </si>
  <si>
    <t>F00475</t>
  </si>
  <si>
    <t>2026-09-02 15:35:00</t>
  </si>
  <si>
    <t>S00475</t>
  </si>
  <si>
    <t>F00476</t>
  </si>
  <si>
    <t>2026-09-02 15:40:00</t>
  </si>
  <si>
    <t>S00476</t>
  </si>
  <si>
    <t>F00477</t>
  </si>
  <si>
    <t>2026-09-02 15:45:00</t>
  </si>
  <si>
    <t>S00477</t>
  </si>
  <si>
    <t>F00478</t>
  </si>
  <si>
    <t>2026-09-02 15:50:00</t>
  </si>
  <si>
    <t>S00478</t>
  </si>
  <si>
    <t>F00479</t>
  </si>
  <si>
    <t>2026-09-02 15:55:00</t>
  </si>
  <si>
    <t>S00479</t>
  </si>
  <si>
    <t>F00480</t>
  </si>
  <si>
    <t>2026-09-02 16:00:00</t>
  </si>
  <si>
    <t>S00480</t>
  </si>
  <si>
    <t>F00481</t>
  </si>
  <si>
    <t>2026-09-02 16:05:00</t>
  </si>
  <si>
    <t>S00481</t>
  </si>
  <si>
    <t>F00482</t>
  </si>
  <si>
    <t>2026-09-02 16:10:00</t>
  </si>
  <si>
    <t>S00482</t>
  </si>
  <si>
    <t>F00483</t>
  </si>
  <si>
    <t>2026-09-02 16:15:00</t>
  </si>
  <si>
    <t>S00483</t>
  </si>
  <si>
    <t>F00484</t>
  </si>
  <si>
    <t>2026-09-02 16:20:00</t>
  </si>
  <si>
    <t>S00484</t>
  </si>
  <si>
    <t>F00485</t>
  </si>
  <si>
    <t>2026-09-02 16:25:00</t>
  </si>
  <si>
    <t>S00485</t>
  </si>
  <si>
    <t>F00486</t>
  </si>
  <si>
    <t>2026-09-02 16:30:00</t>
  </si>
  <si>
    <t>S00486</t>
  </si>
  <si>
    <t>F00487</t>
  </si>
  <si>
    <t>2026-09-02 16:35:00</t>
  </si>
  <si>
    <t>S00487</t>
  </si>
  <si>
    <t>F00488</t>
  </si>
  <si>
    <t>2026-09-02 16:40:00</t>
  </si>
  <si>
    <t>S00488</t>
  </si>
  <si>
    <t>F00489</t>
  </si>
  <si>
    <t>2026-09-02 16:45:00</t>
  </si>
  <si>
    <t>S00489</t>
  </si>
  <si>
    <t>F00490</t>
  </si>
  <si>
    <t>2026-09-02 16:50:00</t>
  </si>
  <si>
    <t>S00490</t>
  </si>
  <si>
    <t>F00491</t>
  </si>
  <si>
    <t>2026-09-02 16:55:00</t>
  </si>
  <si>
    <t>S00491</t>
  </si>
  <si>
    <t>F00492</t>
  </si>
  <si>
    <t>2026-09-02 17:00:00</t>
  </si>
  <si>
    <t>S00492</t>
  </si>
  <si>
    <t>F00493</t>
  </si>
  <si>
    <t>2026-09-02 17:05:00</t>
  </si>
  <si>
    <t>S00493</t>
  </si>
  <si>
    <t>F00494</t>
  </si>
  <si>
    <t>2026-09-02 17:10:00</t>
  </si>
  <si>
    <t>S00494</t>
  </si>
  <si>
    <t>F00495</t>
  </si>
  <si>
    <t>2026-09-02 17:15:00</t>
  </si>
  <si>
    <t>S00495</t>
  </si>
  <si>
    <t>F00496</t>
  </si>
  <si>
    <t>2026-09-02 17:20:00</t>
  </si>
  <si>
    <t>S00496</t>
  </si>
  <si>
    <t>F00497</t>
  </si>
  <si>
    <t>2026-09-02 17:25:00</t>
  </si>
  <si>
    <t>S00497</t>
  </si>
  <si>
    <t>F00498</t>
  </si>
  <si>
    <t>2026-09-02 17:30:00</t>
  </si>
  <si>
    <t>S00498</t>
  </si>
  <si>
    <t>F00499</t>
  </si>
  <si>
    <t>2026-09-02 17:35:00</t>
  </si>
  <si>
    <t>S00499</t>
  </si>
  <si>
    <t>F00500</t>
  </si>
  <si>
    <t>2026-09-02 17:40:00</t>
  </si>
  <si>
    <t>S00500</t>
  </si>
  <si>
    <t>F00501</t>
  </si>
  <si>
    <t>2026-09-02 17:45:00</t>
  </si>
  <si>
    <t>S00501</t>
  </si>
  <si>
    <t>F00502</t>
  </si>
  <si>
    <t>2026-09-02 17:50:00</t>
  </si>
  <si>
    <t>S00502</t>
  </si>
  <si>
    <t>F00503</t>
  </si>
  <si>
    <t>2026-09-02 17:55:00</t>
  </si>
  <si>
    <t>S00503</t>
  </si>
  <si>
    <t>F00504</t>
  </si>
  <si>
    <t>2026-09-02 18:00:00</t>
  </si>
  <si>
    <t>S00504</t>
  </si>
  <si>
    <t>F00505</t>
  </si>
  <si>
    <t>2026-09-02 18:05:00</t>
  </si>
  <si>
    <t>S00505</t>
  </si>
  <si>
    <t>F00506</t>
  </si>
  <si>
    <t>2026-09-02 18:10:00</t>
  </si>
  <si>
    <t>S00506</t>
  </si>
  <si>
    <t>F00507</t>
  </si>
  <si>
    <t>2026-09-02 18:15:00</t>
  </si>
  <si>
    <t>S00507</t>
  </si>
  <si>
    <t>F00508</t>
  </si>
  <si>
    <t>2026-09-02 18:20:00</t>
  </si>
  <si>
    <t>S00508</t>
  </si>
  <si>
    <t>F00509</t>
  </si>
  <si>
    <t>2026-09-02 18:25:00</t>
  </si>
  <si>
    <t>S00509</t>
  </si>
  <si>
    <t>F00510</t>
  </si>
  <si>
    <t>2026-09-02 18:30:00</t>
  </si>
  <si>
    <t>S00510</t>
  </si>
  <si>
    <t>F00511</t>
  </si>
  <si>
    <t>2026-09-02 18:35:00</t>
  </si>
  <si>
    <t>S00511</t>
  </si>
  <si>
    <t>F00512</t>
  </si>
  <si>
    <t>2026-09-02 18:40:00</t>
  </si>
  <si>
    <t>S00512</t>
  </si>
  <si>
    <t>F00513</t>
  </si>
  <si>
    <t>2026-09-02 18:45:00</t>
  </si>
  <si>
    <t>S00513</t>
  </si>
  <si>
    <t>F00514</t>
  </si>
  <si>
    <t>2026-09-02 18:50:00</t>
  </si>
  <si>
    <t>S00514</t>
  </si>
  <si>
    <t>F00515</t>
  </si>
  <si>
    <t>2026-09-02 18:55:00</t>
  </si>
  <si>
    <t>S00515</t>
  </si>
  <si>
    <t>F00516</t>
  </si>
  <si>
    <t>2026-09-02 19:00:00</t>
  </si>
  <si>
    <t>S00516</t>
  </si>
  <si>
    <t>F00517</t>
  </si>
  <si>
    <t>2026-09-02 19:05:00</t>
  </si>
  <si>
    <t>S00517</t>
  </si>
  <si>
    <t>F00518</t>
  </si>
  <si>
    <t>2026-09-02 19:10:00</t>
  </si>
  <si>
    <t>S00518</t>
  </si>
  <si>
    <t>F00519</t>
  </si>
  <si>
    <t>2026-09-02 19:15:00</t>
  </si>
  <si>
    <t>S00519</t>
  </si>
  <si>
    <t>F00520</t>
  </si>
  <si>
    <t>2026-09-02 19:20:00</t>
  </si>
  <si>
    <t>S00520</t>
  </si>
  <si>
    <t>F00521</t>
  </si>
  <si>
    <t>2026-09-02 19:25:00</t>
  </si>
  <si>
    <t>S00521</t>
  </si>
  <si>
    <t>F00522</t>
  </si>
  <si>
    <t>2026-09-02 19:30:00</t>
  </si>
  <si>
    <t>S00522</t>
  </si>
  <si>
    <t>F00523</t>
  </si>
  <si>
    <t>2026-09-02 19:35:00</t>
  </si>
  <si>
    <t>S00523</t>
  </si>
  <si>
    <t>F00524</t>
  </si>
  <si>
    <t>2026-09-02 19:40:00</t>
  </si>
  <si>
    <t>S00524</t>
  </si>
  <si>
    <t>F00525</t>
  </si>
  <si>
    <t>2026-09-02 19:45:00</t>
  </si>
  <si>
    <t>S00525</t>
  </si>
  <si>
    <t>F00526</t>
  </si>
  <si>
    <t>2026-09-02 19:50:00</t>
  </si>
  <si>
    <t>S00526</t>
  </si>
  <si>
    <t>F00527</t>
  </si>
  <si>
    <t>2026-09-02 19:55:00</t>
  </si>
  <si>
    <t>S00527</t>
  </si>
  <si>
    <t>F00528</t>
  </si>
  <si>
    <t>2026-09-02 20:00:00</t>
  </si>
  <si>
    <t>S00528</t>
  </si>
  <si>
    <t>F00529</t>
  </si>
  <si>
    <t>2026-09-02 20:05:00</t>
  </si>
  <si>
    <t>S00529</t>
  </si>
  <si>
    <t>F00530</t>
  </si>
  <si>
    <t>2026-09-02 20:10:00</t>
  </si>
  <si>
    <t>S00530</t>
  </si>
  <si>
    <t>F00531</t>
  </si>
  <si>
    <t>2026-09-02 20:15:00</t>
  </si>
  <si>
    <t>S00531</t>
  </si>
  <si>
    <t>F00532</t>
  </si>
  <si>
    <t>2026-09-02 20:20:00</t>
  </si>
  <si>
    <t>S00532</t>
  </si>
  <si>
    <t>F00533</t>
  </si>
  <si>
    <t>2026-09-02 20:25:00</t>
  </si>
  <si>
    <t>S00533</t>
  </si>
  <si>
    <t>F00534</t>
  </si>
  <si>
    <t>2026-09-02 20:30:00</t>
  </si>
  <si>
    <t>S00534</t>
  </si>
  <si>
    <t>F00535</t>
  </si>
  <si>
    <t>2026-09-02 20:35:00</t>
  </si>
  <si>
    <t>S00535</t>
  </si>
  <si>
    <t>F00536</t>
  </si>
  <si>
    <t>2026-09-02 20:40:00</t>
  </si>
  <si>
    <t>S00536</t>
  </si>
  <si>
    <t>F00537</t>
  </si>
  <si>
    <t>2026-09-02 20:45:00</t>
  </si>
  <si>
    <t>S00537</t>
  </si>
  <si>
    <t>F00538</t>
  </si>
  <si>
    <t>2026-09-02 20:50:00</t>
  </si>
  <si>
    <t>S00538</t>
  </si>
  <si>
    <t>F00539</t>
  </si>
  <si>
    <t>2026-09-02 20:55:00</t>
  </si>
  <si>
    <t>S00539</t>
  </si>
  <si>
    <t>F00540</t>
  </si>
  <si>
    <t>2026-09-02 21:00:00</t>
  </si>
  <si>
    <t>S00540</t>
  </si>
  <si>
    <t>F00541</t>
  </si>
  <si>
    <t>2026-09-02 21:05:00</t>
  </si>
  <si>
    <t>S00541</t>
  </si>
  <si>
    <t>F00542</t>
  </si>
  <si>
    <t>2026-09-02 21:10:00</t>
  </si>
  <si>
    <t>S00542</t>
  </si>
  <si>
    <t>F00543</t>
  </si>
  <si>
    <t>2026-09-02 21:15:00</t>
  </si>
  <si>
    <t>S00543</t>
  </si>
  <si>
    <t>F00544</t>
  </si>
  <si>
    <t>2026-09-02 21:20:00</t>
  </si>
  <si>
    <t>S00544</t>
  </si>
  <si>
    <t>F00545</t>
  </si>
  <si>
    <t>2026-09-02 21:25:00</t>
  </si>
  <si>
    <t>S00545</t>
  </si>
  <si>
    <t>F00546</t>
  </si>
  <si>
    <t>2026-09-02 21:30:00</t>
  </si>
  <si>
    <t>S00546</t>
  </si>
  <si>
    <t>F00547</t>
  </si>
  <si>
    <t>2026-09-02 21:35:00</t>
  </si>
  <si>
    <t>S00547</t>
  </si>
  <si>
    <t>F00548</t>
  </si>
  <si>
    <t>2026-09-02 21:40:00</t>
  </si>
  <si>
    <t>S00548</t>
  </si>
  <si>
    <t>F00549</t>
  </si>
  <si>
    <t>2026-09-02 21:45:00</t>
  </si>
  <si>
    <t>S00549</t>
  </si>
  <si>
    <t>F00550</t>
  </si>
  <si>
    <t>2026-09-02 21:50:00</t>
  </si>
  <si>
    <t>S00550</t>
  </si>
  <si>
    <t>F00551</t>
  </si>
  <si>
    <t>2026-09-02 21:55:00</t>
  </si>
  <si>
    <t>S00551</t>
  </si>
  <si>
    <t>F00552</t>
  </si>
  <si>
    <t>2026-09-02 22:00:00</t>
  </si>
  <si>
    <t>S00552</t>
  </si>
  <si>
    <t>F00553</t>
  </si>
  <si>
    <t>2026-09-02 22:05:00</t>
  </si>
  <si>
    <t>S00553</t>
  </si>
  <si>
    <t>F00554</t>
  </si>
  <si>
    <t>2026-09-02 22:10:00</t>
  </si>
  <si>
    <t>S00554</t>
  </si>
  <si>
    <t>F00555</t>
  </si>
  <si>
    <t>2026-09-02 22:15:00</t>
  </si>
  <si>
    <t>S00555</t>
  </si>
  <si>
    <t>F00556</t>
  </si>
  <si>
    <t>2026-09-02 22:20:00</t>
  </si>
  <si>
    <t>S00556</t>
  </si>
  <si>
    <t>F00557</t>
  </si>
  <si>
    <t>2026-09-02 22:25:00</t>
  </si>
  <si>
    <t>S00557</t>
  </si>
  <si>
    <t>F00558</t>
  </si>
  <si>
    <t>2026-09-02 22:30:00</t>
  </si>
  <si>
    <t>S00558</t>
  </si>
  <si>
    <t>F00559</t>
  </si>
  <si>
    <t>2026-09-02 22:35:00</t>
  </si>
  <si>
    <t>S00559</t>
  </si>
  <si>
    <t>F00560</t>
  </si>
  <si>
    <t>2026-09-02 22:40:00</t>
  </si>
  <si>
    <t>S00560</t>
  </si>
  <si>
    <t>F00561</t>
  </si>
  <si>
    <t>2026-09-02 22:45:00</t>
  </si>
  <si>
    <t>S00561</t>
  </si>
  <si>
    <t>F00562</t>
  </si>
  <si>
    <t>2026-09-02 22:50:00</t>
  </si>
  <si>
    <t>S00562</t>
  </si>
  <si>
    <t>F00563</t>
  </si>
  <si>
    <t>2026-09-02 22:55:00</t>
  </si>
  <si>
    <t>S00563</t>
  </si>
  <si>
    <t>F00564</t>
  </si>
  <si>
    <t>2026-09-02 23:00:00</t>
  </si>
  <si>
    <t>S00564</t>
  </si>
  <si>
    <t>F00565</t>
  </si>
  <si>
    <t>2026-09-02 23:05:00</t>
  </si>
  <si>
    <t>S00565</t>
  </si>
  <si>
    <t>F00566</t>
  </si>
  <si>
    <t>2026-09-02 23:10:00</t>
  </si>
  <si>
    <t>S00566</t>
  </si>
  <si>
    <t>F00567</t>
  </si>
  <si>
    <t>2026-09-02 23:15:00</t>
  </si>
  <si>
    <t>S00567</t>
  </si>
  <si>
    <t>F00568</t>
  </si>
  <si>
    <t>2026-09-02 23:20:00</t>
  </si>
  <si>
    <t>S00568</t>
  </si>
  <si>
    <t>F00569</t>
  </si>
  <si>
    <t>2026-09-02 23:25:00</t>
  </si>
  <si>
    <t>S00569</t>
  </si>
  <si>
    <t>F00570</t>
  </si>
  <si>
    <t>2026-09-02 23:30:00</t>
  </si>
  <si>
    <t>S00570</t>
  </si>
  <si>
    <t>F00571</t>
  </si>
  <si>
    <t>2026-09-02 23:35:00</t>
  </si>
  <si>
    <t>S00571</t>
  </si>
  <si>
    <t>F00572</t>
  </si>
  <si>
    <t>2026-09-02 23:40:00</t>
  </si>
  <si>
    <t>S00572</t>
  </si>
  <si>
    <t>F00573</t>
  </si>
  <si>
    <t>2026-09-02 23:45:00</t>
  </si>
  <si>
    <t>S00573</t>
  </si>
  <si>
    <t>F00574</t>
  </si>
  <si>
    <t>2026-09-02 23:50:00</t>
  </si>
  <si>
    <t>S00574</t>
  </si>
  <si>
    <t>F00575</t>
  </si>
  <si>
    <t>2026-09-02 23:55:00</t>
  </si>
  <si>
    <t>S00575</t>
  </si>
  <si>
    <t>F00576</t>
  </si>
  <si>
    <t>2026-09-03 00:00:00</t>
  </si>
  <si>
    <t>S00576</t>
  </si>
  <si>
    <t>F00577</t>
  </si>
  <si>
    <t>2026-09-03 00:05:00</t>
  </si>
  <si>
    <t>S00577</t>
  </si>
  <si>
    <t>F00578</t>
  </si>
  <si>
    <t>2026-09-03 00:10:00</t>
  </si>
  <si>
    <t>S00578</t>
  </si>
  <si>
    <t>F00579</t>
  </si>
  <si>
    <t>2026-09-03 00:15:00</t>
  </si>
  <si>
    <t>S00579</t>
  </si>
  <si>
    <t>F00580</t>
  </si>
  <si>
    <t>2026-09-03 00:20:00</t>
  </si>
  <si>
    <t>S00580</t>
  </si>
  <si>
    <t>F00581</t>
  </si>
  <si>
    <t>2026-09-03 00:25:00</t>
  </si>
  <si>
    <t>S00581</t>
  </si>
  <si>
    <t>F00582</t>
  </si>
  <si>
    <t>2026-09-03 00:30:00</t>
  </si>
  <si>
    <t>S00582</t>
  </si>
  <si>
    <t>F00583</t>
  </si>
  <si>
    <t>2026-09-03 00:35:00</t>
  </si>
  <si>
    <t>S00583</t>
  </si>
  <si>
    <t>F00584</t>
  </si>
  <si>
    <t>2026-09-03 00:40:00</t>
  </si>
  <si>
    <t>S00584</t>
  </si>
  <si>
    <t>F00585</t>
  </si>
  <si>
    <t>2026-09-03 00:45:00</t>
  </si>
  <si>
    <t>S00585</t>
  </si>
  <si>
    <t>F00586</t>
  </si>
  <si>
    <t>2026-09-03 00:50:00</t>
  </si>
  <si>
    <t>S00586</t>
  </si>
  <si>
    <t>F00587</t>
  </si>
  <si>
    <t>2026-09-03 00:55:00</t>
  </si>
  <si>
    <t>S00587</t>
  </si>
  <si>
    <t>F00588</t>
  </si>
  <si>
    <t>2026-09-03 01:00:00</t>
  </si>
  <si>
    <t>S00588</t>
  </si>
  <si>
    <t>F00589</t>
  </si>
  <si>
    <t>2026-09-03 01:05:00</t>
  </si>
  <si>
    <t>S00589</t>
  </si>
  <si>
    <t>F00590</t>
  </si>
  <si>
    <t>2026-09-03 01:10:00</t>
  </si>
  <si>
    <t>S00590</t>
  </si>
  <si>
    <t>F00591</t>
  </si>
  <si>
    <t>2026-09-03 01:15:00</t>
  </si>
  <si>
    <t>S00591</t>
  </si>
  <si>
    <t>F00592</t>
  </si>
  <si>
    <t>2026-09-03 01:20:00</t>
  </si>
  <si>
    <t>S00592</t>
  </si>
  <si>
    <t>F00593</t>
  </si>
  <si>
    <t>2026-09-03 01:25:00</t>
  </si>
  <si>
    <t>S00593</t>
  </si>
  <si>
    <t>F00594</t>
  </si>
  <si>
    <t>2026-09-03 01:30:00</t>
  </si>
  <si>
    <t>S00594</t>
  </si>
  <si>
    <t>F00595</t>
  </si>
  <si>
    <t>2026-09-03 01:35:00</t>
  </si>
  <si>
    <t>S00595</t>
  </si>
  <si>
    <t>F00596</t>
  </si>
  <si>
    <t>2026-09-03 01:40:00</t>
  </si>
  <si>
    <t>S00596</t>
  </si>
  <si>
    <t>F00597</t>
  </si>
  <si>
    <t>2026-09-03 01:45:00</t>
  </si>
  <si>
    <t>S00597</t>
  </si>
  <si>
    <t>F00598</t>
  </si>
  <si>
    <t>2026-09-03 01:50:00</t>
  </si>
  <si>
    <t>S00598</t>
  </si>
  <si>
    <t>F00599</t>
  </si>
  <si>
    <t>2026-09-03 01:55:00</t>
  </si>
  <si>
    <t>S00599</t>
  </si>
  <si>
    <t>F00600</t>
  </si>
  <si>
    <t>2026-09-03 02:00:00</t>
  </si>
  <si>
    <t>S00600</t>
  </si>
  <si>
    <t>F00601</t>
  </si>
  <si>
    <t>2026-09-03 02:05:00</t>
  </si>
  <si>
    <t>S00601</t>
  </si>
  <si>
    <t>F00602</t>
  </si>
  <si>
    <t>2026-09-03 02:10:00</t>
  </si>
  <si>
    <t>S00602</t>
  </si>
  <si>
    <t>F00603</t>
  </si>
  <si>
    <t>2026-09-03 02:15:00</t>
  </si>
  <si>
    <t>S00603</t>
  </si>
  <si>
    <t>F00604</t>
  </si>
  <si>
    <t>2026-09-03 02:20:00</t>
  </si>
  <si>
    <t>S00604</t>
  </si>
  <si>
    <t>F00605</t>
  </si>
  <si>
    <t>2026-09-03 02:25:00</t>
  </si>
  <si>
    <t>S00605</t>
  </si>
  <si>
    <t>F00606</t>
  </si>
  <si>
    <t>2026-09-03 02:30:00</t>
  </si>
  <si>
    <t>S00606</t>
  </si>
  <si>
    <t>F00607</t>
  </si>
  <si>
    <t>2026-09-03 02:35:00</t>
  </si>
  <si>
    <t>S00607</t>
  </si>
  <si>
    <t>F00608</t>
  </si>
  <si>
    <t>2026-09-03 02:40:00</t>
  </si>
  <si>
    <t>S00608</t>
  </si>
  <si>
    <t>F00609</t>
  </si>
  <si>
    <t>2026-09-03 02:45:00</t>
  </si>
  <si>
    <t>S00609</t>
  </si>
  <si>
    <t>F00610</t>
  </si>
  <si>
    <t>2026-09-03 02:50:00</t>
  </si>
  <si>
    <t>S00610</t>
  </si>
  <si>
    <t>F00611</t>
  </si>
  <si>
    <t>2026-09-03 02:55:00</t>
  </si>
  <si>
    <t>S00611</t>
  </si>
  <si>
    <t>F00612</t>
  </si>
  <si>
    <t>2026-09-03 03:00:00</t>
  </si>
  <si>
    <t>S00612</t>
  </si>
  <si>
    <t>F00613</t>
  </si>
  <si>
    <t>2026-09-03 03:05:00</t>
  </si>
  <si>
    <t>S00613</t>
  </si>
  <si>
    <t>F00614</t>
  </si>
  <si>
    <t>2026-09-03 03:10:00</t>
  </si>
  <si>
    <t>S00614</t>
  </si>
  <si>
    <t>F00615</t>
  </si>
  <si>
    <t>2026-09-03 03:15:00</t>
  </si>
  <si>
    <t>S00615</t>
  </si>
  <si>
    <t>F00616</t>
  </si>
  <si>
    <t>2026-09-03 03:20:00</t>
  </si>
  <si>
    <t>S00616</t>
  </si>
  <si>
    <t>F00617</t>
  </si>
  <si>
    <t>2026-09-03 03:25:00</t>
  </si>
  <si>
    <t>S00617</t>
  </si>
  <si>
    <t>F00618</t>
  </si>
  <si>
    <t>2026-09-03 03:30:00</t>
  </si>
  <si>
    <t>S00618</t>
  </si>
  <si>
    <t>F00619</t>
  </si>
  <si>
    <t>2026-09-03 03:35:00</t>
  </si>
  <si>
    <t>S00619</t>
  </si>
  <si>
    <t>F00620</t>
  </si>
  <si>
    <t>2026-09-03 03:40:00</t>
  </si>
  <si>
    <t>S00620</t>
  </si>
  <si>
    <t>F00621</t>
  </si>
  <si>
    <t>2026-09-03 03:45:00</t>
  </si>
  <si>
    <t>S00621</t>
  </si>
  <si>
    <t>F00622</t>
  </si>
  <si>
    <t>2026-09-03 03:50:00</t>
  </si>
  <si>
    <t>S00622</t>
  </si>
  <si>
    <t>F00623</t>
  </si>
  <si>
    <t>2026-09-03 03:55:00</t>
  </si>
  <si>
    <t>S00623</t>
  </si>
  <si>
    <t>F00624</t>
  </si>
  <si>
    <t>2026-09-03 04:00:00</t>
  </si>
  <si>
    <t>S00624</t>
  </si>
  <si>
    <t>F00625</t>
  </si>
  <si>
    <t>2026-09-03 04:05:00</t>
  </si>
  <si>
    <t>S00625</t>
  </si>
  <si>
    <t>F00626</t>
  </si>
  <si>
    <t>2026-09-03 04:10:00</t>
  </si>
  <si>
    <t>S00626</t>
  </si>
  <si>
    <t>F00627</t>
  </si>
  <si>
    <t>2026-09-03 04:15:00</t>
  </si>
  <si>
    <t>S00627</t>
  </si>
  <si>
    <t>F00628</t>
  </si>
  <si>
    <t>2026-09-03 04:20:00</t>
  </si>
  <si>
    <t>S00628</t>
  </si>
  <si>
    <t>F00629</t>
  </si>
  <si>
    <t>2026-09-03 04:25:00</t>
  </si>
  <si>
    <t>S00629</t>
  </si>
  <si>
    <t>F00630</t>
  </si>
  <si>
    <t>2026-09-03 04:30:00</t>
  </si>
  <si>
    <t>S00630</t>
  </si>
  <si>
    <t>F00631</t>
  </si>
  <si>
    <t>2026-09-03 04:35:00</t>
  </si>
  <si>
    <t>S00631</t>
  </si>
  <si>
    <t>F00632</t>
  </si>
  <si>
    <t>2026-09-03 04:40:00</t>
  </si>
  <si>
    <t>S00632</t>
  </si>
  <si>
    <t>F00633</t>
  </si>
  <si>
    <t>2026-09-03 04:45:00</t>
  </si>
  <si>
    <t>S00633</t>
  </si>
  <si>
    <t>F00634</t>
  </si>
  <si>
    <t>2026-09-03 04:50:00</t>
  </si>
  <si>
    <t>S00634</t>
  </si>
  <si>
    <t>F00635</t>
  </si>
  <si>
    <t>2026-09-03 04:55:00</t>
  </si>
  <si>
    <t>S00635</t>
  </si>
  <si>
    <t>F00636</t>
  </si>
  <si>
    <t>2026-09-03 05:00:00</t>
  </si>
  <si>
    <t>S00636</t>
  </si>
  <si>
    <t>F00637</t>
  </si>
  <si>
    <t>2026-09-03 05:05:00</t>
  </si>
  <si>
    <t>S00637</t>
  </si>
  <si>
    <t>F00638</t>
  </si>
  <si>
    <t>2026-09-03 05:10:00</t>
  </si>
  <si>
    <t>S00638</t>
  </si>
  <si>
    <t>F00639</t>
  </si>
  <si>
    <t>2026-09-03 05:15:00</t>
  </si>
  <si>
    <t>S00639</t>
  </si>
  <si>
    <t>F00640</t>
  </si>
  <si>
    <t>2026-09-03 05:20:00</t>
  </si>
  <si>
    <t>S00640</t>
  </si>
  <si>
    <t>F00641</t>
  </si>
  <si>
    <t>2026-09-03 05:25:00</t>
  </si>
  <si>
    <t>S00641</t>
  </si>
  <si>
    <t>F00642</t>
  </si>
  <si>
    <t>2026-09-03 05:30:00</t>
  </si>
  <si>
    <t>S00642</t>
  </si>
  <si>
    <t>F00643</t>
  </si>
  <si>
    <t>2026-09-03 05:35:00</t>
  </si>
  <si>
    <t>S00643</t>
  </si>
  <si>
    <t>F00644</t>
  </si>
  <si>
    <t>2026-09-03 05:40:00</t>
  </si>
  <si>
    <t>S00644</t>
  </si>
  <si>
    <t>F00645</t>
  </si>
  <si>
    <t>2026-09-03 05:45:00</t>
  </si>
  <si>
    <t>S00645</t>
  </si>
  <si>
    <t>F00646</t>
  </si>
  <si>
    <t>2026-09-03 05:50:00</t>
  </si>
  <si>
    <t>S00646</t>
  </si>
  <si>
    <t>F00647</t>
  </si>
  <si>
    <t>2026-09-03 05:55:00</t>
  </si>
  <si>
    <t>S00647</t>
  </si>
  <si>
    <t>F00648</t>
  </si>
  <si>
    <t>2026-09-03 06:00:00</t>
  </si>
  <si>
    <t>S00648</t>
  </si>
  <si>
    <t>F00649</t>
  </si>
  <si>
    <t>2026-09-03 06:05:00</t>
  </si>
  <si>
    <t>S00649</t>
  </si>
  <si>
    <t>F00650</t>
  </si>
  <si>
    <t>2026-09-03 06:10:00</t>
  </si>
  <si>
    <t>S00650</t>
  </si>
  <si>
    <t>F00651</t>
  </si>
  <si>
    <t>2026-09-03 06:15:00</t>
  </si>
  <si>
    <t>S00651</t>
  </si>
  <si>
    <t>F00652</t>
  </si>
  <si>
    <t>2026-09-03 06:20:00</t>
  </si>
  <si>
    <t>S00652</t>
  </si>
  <si>
    <t>F00653</t>
  </si>
  <si>
    <t>2026-09-03 06:25:00</t>
  </si>
  <si>
    <t>S00653</t>
  </si>
  <si>
    <t>F00654</t>
  </si>
  <si>
    <t>2026-09-03 06:30:00</t>
  </si>
  <si>
    <t>S00654</t>
  </si>
  <si>
    <t>F00655</t>
  </si>
  <si>
    <t>2026-09-03 06:35:00</t>
  </si>
  <si>
    <t>S00655</t>
  </si>
  <si>
    <t>F00656</t>
  </si>
  <si>
    <t>2026-09-03 06:40:00</t>
  </si>
  <si>
    <t>S00656</t>
  </si>
  <si>
    <t>F00657</t>
  </si>
  <si>
    <t>2026-09-03 06:45:00</t>
  </si>
  <si>
    <t>S00657</t>
  </si>
  <si>
    <t>F00658</t>
  </si>
  <si>
    <t>2026-09-03 06:50:00</t>
  </si>
  <si>
    <t>S00658</t>
  </si>
  <si>
    <t>F00659</t>
  </si>
  <si>
    <t>2026-09-03 06:55:00</t>
  </si>
  <si>
    <t>S00659</t>
  </si>
  <si>
    <t>F00660</t>
  </si>
  <si>
    <t>2026-09-03 07:00:00</t>
  </si>
  <si>
    <t>S00660</t>
  </si>
  <si>
    <t>F00661</t>
  </si>
  <si>
    <t>2026-09-03 07:05:00</t>
  </si>
  <si>
    <t>S00661</t>
  </si>
  <si>
    <t>F00662</t>
  </si>
  <si>
    <t>2026-09-03 07:10:00</t>
  </si>
  <si>
    <t>S00662</t>
  </si>
  <si>
    <t>F00663</t>
  </si>
  <si>
    <t>2026-09-03 07:15:00</t>
  </si>
  <si>
    <t>S00663</t>
  </si>
  <si>
    <t>F00664</t>
  </si>
  <si>
    <t>2026-09-03 07:20:00</t>
  </si>
  <si>
    <t>S00664</t>
  </si>
  <si>
    <t>F00665</t>
  </si>
  <si>
    <t>2026-09-03 07:25:00</t>
  </si>
  <si>
    <t>S00665</t>
  </si>
  <si>
    <t>F00666</t>
  </si>
  <si>
    <t>2026-09-03 07:30:00</t>
  </si>
  <si>
    <t>S00666</t>
  </si>
  <si>
    <t>F00667</t>
  </si>
  <si>
    <t>2026-09-03 07:35:00</t>
  </si>
  <si>
    <t>S00667</t>
  </si>
  <si>
    <t>F00668</t>
  </si>
  <si>
    <t>2026-09-03 07:40:00</t>
  </si>
  <si>
    <t>S00668</t>
  </si>
  <si>
    <t>F00669</t>
  </si>
  <si>
    <t>2026-09-03 07:45:00</t>
  </si>
  <si>
    <t>S00669</t>
  </si>
  <si>
    <t>F00670</t>
  </si>
  <si>
    <t>2026-09-03 07:50:00</t>
  </si>
  <si>
    <t>S00670</t>
  </si>
  <si>
    <t>F00671</t>
  </si>
  <si>
    <t>2026-09-03 07:55:00</t>
  </si>
  <si>
    <t>S00671</t>
  </si>
  <si>
    <t>F00672</t>
  </si>
  <si>
    <t>2026-09-03 08:00:00</t>
  </si>
  <si>
    <t>S00672</t>
  </si>
  <si>
    <t>F00673</t>
  </si>
  <si>
    <t>2026-09-03 08:05:00</t>
  </si>
  <si>
    <t>S00673</t>
  </si>
  <si>
    <t>F00674</t>
  </si>
  <si>
    <t>2026-09-03 08:10:00</t>
  </si>
  <si>
    <t>S00674</t>
  </si>
  <si>
    <t>F00675</t>
  </si>
  <si>
    <t>2026-09-03 08:15:00</t>
  </si>
  <si>
    <t>S00675</t>
  </si>
  <si>
    <t>F00676</t>
  </si>
  <si>
    <t>2026-09-03 08:20:00</t>
  </si>
  <si>
    <t>S00676</t>
  </si>
  <si>
    <t>F00677</t>
  </si>
  <si>
    <t>2026-09-03 08:25:00</t>
  </si>
  <si>
    <t>S00677</t>
  </si>
  <si>
    <t>F00678</t>
  </si>
  <si>
    <t>2026-09-03 08:30:00</t>
  </si>
  <si>
    <t>S00678</t>
  </si>
  <si>
    <t>F00679</t>
  </si>
  <si>
    <t>2026-09-03 08:35:00</t>
  </si>
  <si>
    <t>S00679</t>
  </si>
  <si>
    <t>F00680</t>
  </si>
  <si>
    <t>2026-09-03 08:40:00</t>
  </si>
  <si>
    <t>S00680</t>
  </si>
  <si>
    <t>F00681</t>
  </si>
  <si>
    <t>2026-09-03 08:45:00</t>
  </si>
  <si>
    <t>S00681</t>
  </si>
  <si>
    <t>F00682</t>
  </si>
  <si>
    <t>2026-09-03 08:50:00</t>
  </si>
  <si>
    <t>S00682</t>
  </si>
  <si>
    <t>F00683</t>
  </si>
  <si>
    <t>2026-09-03 08:55:00</t>
  </si>
  <si>
    <t>S00683</t>
  </si>
  <si>
    <t>F00684</t>
  </si>
  <si>
    <t>2026-09-03 09:00:00</t>
  </si>
  <si>
    <t>S00684</t>
  </si>
  <si>
    <t>F00685</t>
  </si>
  <si>
    <t>2026-09-03 09:05:00</t>
  </si>
  <si>
    <t>S00685</t>
  </si>
  <si>
    <t>F00686</t>
  </si>
  <si>
    <t>2026-09-03 09:10:00</t>
  </si>
  <si>
    <t>S00686</t>
  </si>
  <si>
    <t>F00687</t>
  </si>
  <si>
    <t>2026-09-03 09:15:00</t>
  </si>
  <si>
    <t>S00687</t>
  </si>
  <si>
    <t>F00688</t>
  </si>
  <si>
    <t>2026-09-03 09:20:00</t>
  </si>
  <si>
    <t>S00688</t>
  </si>
  <si>
    <t>F00689</t>
  </si>
  <si>
    <t>2026-09-03 09:25:00</t>
  </si>
  <si>
    <t>S00689</t>
  </si>
  <si>
    <t>F00690</t>
  </si>
  <si>
    <t>2026-09-03 09:30:00</t>
  </si>
  <si>
    <t>S00690</t>
  </si>
  <si>
    <t>F00691</t>
  </si>
  <si>
    <t>2026-09-03 09:35:00</t>
  </si>
  <si>
    <t>S00691</t>
  </si>
  <si>
    <t>F00692</t>
  </si>
  <si>
    <t>2026-09-03 09:40:00</t>
  </si>
  <si>
    <t>S00692</t>
  </si>
  <si>
    <t>F00693</t>
  </si>
  <si>
    <t>2026-09-03 09:45:00</t>
  </si>
  <si>
    <t>S00693</t>
  </si>
  <si>
    <t>F00694</t>
  </si>
  <si>
    <t>2026-09-03 09:50:00</t>
  </si>
  <si>
    <t>S00694</t>
  </si>
  <si>
    <t>F00695</t>
  </si>
  <si>
    <t>2026-09-03 09:55:00</t>
  </si>
  <si>
    <t>S00695</t>
  </si>
  <si>
    <t>F00696</t>
  </si>
  <si>
    <t>2026-09-03 10:00:00</t>
  </si>
  <si>
    <t>S00696</t>
  </si>
  <si>
    <t>F00697</t>
  </si>
  <si>
    <t>2026-09-03 10:05:00</t>
  </si>
  <si>
    <t>S00697</t>
  </si>
  <si>
    <t>F00698</t>
  </si>
  <si>
    <t>2026-09-03 10:10:00</t>
  </si>
  <si>
    <t>S00698</t>
  </si>
  <si>
    <t>F00699</t>
  </si>
  <si>
    <t>2026-09-03 10:15:00</t>
  </si>
  <si>
    <t>S00699</t>
  </si>
  <si>
    <t>F00700</t>
  </si>
  <si>
    <t>2026-09-03 10:20:00</t>
  </si>
  <si>
    <t>S00700</t>
  </si>
  <si>
    <t>F00701</t>
  </si>
  <si>
    <t>2026-09-03 10:25:00</t>
  </si>
  <si>
    <t>S00701</t>
  </si>
  <si>
    <t>F00702</t>
  </si>
  <si>
    <t>2026-09-03 10:30:00</t>
  </si>
  <si>
    <t>S00702</t>
  </si>
  <si>
    <t>F00703</t>
  </si>
  <si>
    <t>2026-09-03 10:35:00</t>
  </si>
  <si>
    <t>S00703</t>
  </si>
  <si>
    <t>F00704</t>
  </si>
  <si>
    <t>2026-09-03 10:40:00</t>
  </si>
  <si>
    <t>S00704</t>
  </si>
  <si>
    <t>F00705</t>
  </si>
  <si>
    <t>2026-09-03 10:45:00</t>
  </si>
  <si>
    <t>S00705</t>
  </si>
  <si>
    <t>F00706</t>
  </si>
  <si>
    <t>2026-09-03 10:50:00</t>
  </si>
  <si>
    <t>S00706</t>
  </si>
  <si>
    <t>F00707</t>
  </si>
  <si>
    <t>2026-09-03 10:55:00</t>
  </si>
  <si>
    <t>S00707</t>
  </si>
  <si>
    <t>F00708</t>
  </si>
  <si>
    <t>2026-09-03 11:00:00</t>
  </si>
  <si>
    <t>S00708</t>
  </si>
  <si>
    <t>F00709</t>
  </si>
  <si>
    <t>2026-09-03 11:05:00</t>
  </si>
  <si>
    <t>S00709</t>
  </si>
  <si>
    <t>F00710</t>
  </si>
  <si>
    <t>2026-09-03 11:10:00</t>
  </si>
  <si>
    <t>S00710</t>
  </si>
  <si>
    <t>F00711</t>
  </si>
  <si>
    <t>2026-09-03 11:15:00</t>
  </si>
  <si>
    <t>S00711</t>
  </si>
  <si>
    <t>F00712</t>
  </si>
  <si>
    <t>2026-09-03 11:20:00</t>
  </si>
  <si>
    <t>S00712</t>
  </si>
  <si>
    <t>F00713</t>
  </si>
  <si>
    <t>2026-09-03 11:25:00</t>
  </si>
  <si>
    <t>S00713</t>
  </si>
  <si>
    <t>F00714</t>
  </si>
  <si>
    <t>2026-09-03 11:30:00</t>
  </si>
  <si>
    <t>S00714</t>
  </si>
  <si>
    <t>F00715</t>
  </si>
  <si>
    <t>2026-09-03 11:35:00</t>
  </si>
  <si>
    <t>S00715</t>
  </si>
  <si>
    <t>F00716</t>
  </si>
  <si>
    <t>2026-09-03 11:40:00</t>
  </si>
  <si>
    <t>S00716</t>
  </si>
  <si>
    <t>F00717</t>
  </si>
  <si>
    <t>2026-09-03 11:45:00</t>
  </si>
  <si>
    <t>S00717</t>
  </si>
  <si>
    <t>F00718</t>
  </si>
  <si>
    <t>2026-09-03 11:50:00</t>
  </si>
  <si>
    <t>S00718</t>
  </si>
  <si>
    <t>F00719</t>
  </si>
  <si>
    <t>2026-09-03 11:55:00</t>
  </si>
  <si>
    <t>S00719</t>
  </si>
  <si>
    <t>F00720</t>
  </si>
  <si>
    <t>2026-09-03 12:00:00</t>
  </si>
  <si>
    <t>S00720</t>
  </si>
  <si>
    <t>F00721</t>
  </si>
  <si>
    <t>2026-09-03 12:05:00</t>
  </si>
  <si>
    <t>S00721</t>
  </si>
  <si>
    <t>F00722</t>
  </si>
  <si>
    <t>2026-09-03 12:10:00</t>
  </si>
  <si>
    <t>S00722</t>
  </si>
  <si>
    <t>F00723</t>
  </si>
  <si>
    <t>2026-09-03 12:15:00</t>
  </si>
  <si>
    <t>S00723</t>
  </si>
  <si>
    <t>F00724</t>
  </si>
  <si>
    <t>2026-09-03 12:20:00</t>
  </si>
  <si>
    <t>S00724</t>
  </si>
  <si>
    <t>F00725</t>
  </si>
  <si>
    <t>2026-09-03 12:25:00</t>
  </si>
  <si>
    <t>S00725</t>
  </si>
  <si>
    <t>F00726</t>
  </si>
  <si>
    <t>2026-09-03 12:30:00</t>
  </si>
  <si>
    <t>S00726</t>
  </si>
  <si>
    <t>F00727</t>
  </si>
  <si>
    <t>2026-09-03 12:35:00</t>
  </si>
  <si>
    <t>S00727</t>
  </si>
  <si>
    <t>F00728</t>
  </si>
  <si>
    <t>2026-09-03 12:40:00</t>
  </si>
  <si>
    <t>S00728</t>
  </si>
  <si>
    <t>F00729</t>
  </si>
  <si>
    <t>2026-09-03 12:45:00</t>
  </si>
  <si>
    <t>S00729</t>
  </si>
  <si>
    <t>F00730</t>
  </si>
  <si>
    <t>2026-09-03 12:50:00</t>
  </si>
  <si>
    <t>S00730</t>
  </si>
  <si>
    <t>F00731</t>
  </si>
  <si>
    <t>2026-09-03 12:55:00</t>
  </si>
  <si>
    <t>S00731</t>
  </si>
  <si>
    <t>F00732</t>
  </si>
  <si>
    <t>2026-09-03 13:00:00</t>
  </si>
  <si>
    <t>S00732</t>
  </si>
  <si>
    <t>F00733</t>
  </si>
  <si>
    <t>2026-09-03 13:05:00</t>
  </si>
  <si>
    <t>S00733</t>
  </si>
  <si>
    <t>F00734</t>
  </si>
  <si>
    <t>2026-09-03 13:10:00</t>
  </si>
  <si>
    <t>S00734</t>
  </si>
  <si>
    <t>F00735</t>
  </si>
  <si>
    <t>2026-09-03 13:15:00</t>
  </si>
  <si>
    <t>S00735</t>
  </si>
  <si>
    <t>F00736</t>
  </si>
  <si>
    <t>2026-09-03 13:20:00</t>
  </si>
  <si>
    <t>S00736</t>
  </si>
  <si>
    <t>F00737</t>
  </si>
  <si>
    <t>2026-09-03 13:25:00</t>
  </si>
  <si>
    <t>S00737</t>
  </si>
  <si>
    <t>F00738</t>
  </si>
  <si>
    <t>2026-09-03 13:30:00</t>
  </si>
  <si>
    <t>S00738</t>
  </si>
  <si>
    <t>F00739</t>
  </si>
  <si>
    <t>2026-09-03 13:35:00</t>
  </si>
  <si>
    <t>S00739</t>
  </si>
  <si>
    <t>F00740</t>
  </si>
  <si>
    <t>2026-09-03 13:40:00</t>
  </si>
  <si>
    <t>S00740</t>
  </si>
  <si>
    <t>F00741</t>
  </si>
  <si>
    <t>2026-09-03 13:45:00</t>
  </si>
  <si>
    <t>S00741</t>
  </si>
  <si>
    <t>F00742</t>
  </si>
  <si>
    <t>2026-09-03 13:50:00</t>
  </si>
  <si>
    <t>S00742</t>
  </si>
  <si>
    <t>F00743</t>
  </si>
  <si>
    <t>2026-09-03 13:55:00</t>
  </si>
  <si>
    <t>S00743</t>
  </si>
  <si>
    <t>F00744</t>
  </si>
  <si>
    <t>2026-09-03 14:00:00</t>
  </si>
  <si>
    <t>S00744</t>
  </si>
  <si>
    <t>F00745</t>
  </si>
  <si>
    <t>2026-09-03 14:05:00</t>
  </si>
  <si>
    <t>S00745</t>
  </si>
  <si>
    <t>F00746</t>
  </si>
  <si>
    <t>2026-09-03 14:10:00</t>
  </si>
  <si>
    <t>S00746</t>
  </si>
  <si>
    <t>F00747</t>
  </si>
  <si>
    <t>2026-09-03 14:15:00</t>
  </si>
  <si>
    <t>S00747</t>
  </si>
  <si>
    <t>F00748</t>
  </si>
  <si>
    <t>2026-09-03 14:20:00</t>
  </si>
  <si>
    <t>S00748</t>
  </si>
  <si>
    <t>F00749</t>
  </si>
  <si>
    <t>2026-09-03 14:25:00</t>
  </si>
  <si>
    <t>S00749</t>
  </si>
  <si>
    <t>F00750</t>
  </si>
  <si>
    <t>2026-09-03 14:30:00</t>
  </si>
  <si>
    <t>S00750</t>
  </si>
  <si>
    <t>F00751</t>
  </si>
  <si>
    <t>2026-09-03 14:35:00</t>
  </si>
  <si>
    <t>S00751</t>
  </si>
  <si>
    <t>F00752</t>
  </si>
  <si>
    <t>2026-09-03 14:40:00</t>
  </si>
  <si>
    <t>S00752</t>
  </si>
  <si>
    <t>F00753</t>
  </si>
  <si>
    <t>2026-09-03 14:45:00</t>
  </si>
  <si>
    <t>S00753</t>
  </si>
  <si>
    <t>F00754</t>
  </si>
  <si>
    <t>2026-09-03 14:50:00</t>
  </si>
  <si>
    <t>S00754</t>
  </si>
  <si>
    <t>F00755</t>
  </si>
  <si>
    <t>2026-09-03 14:55:00</t>
  </si>
  <si>
    <t>S00755</t>
  </si>
  <si>
    <t>F00756</t>
  </si>
  <si>
    <t>2026-09-03 15:00:00</t>
  </si>
  <si>
    <t>S00756</t>
  </si>
  <si>
    <t>F00757</t>
  </si>
  <si>
    <t>2026-09-03 15:05:00</t>
  </si>
  <si>
    <t>S00757</t>
  </si>
  <si>
    <t>F00758</t>
  </si>
  <si>
    <t>2026-09-03 15:10:00</t>
  </si>
  <si>
    <t>S00758</t>
  </si>
  <si>
    <t>F00759</t>
  </si>
  <si>
    <t>2026-09-03 15:15:00</t>
  </si>
  <si>
    <t>S00759</t>
  </si>
  <si>
    <t>F00760</t>
  </si>
  <si>
    <t>2026-09-03 15:20:00</t>
  </si>
  <si>
    <t>S00760</t>
  </si>
  <si>
    <t>F00761</t>
  </si>
  <si>
    <t>2026-09-03 15:25:00</t>
  </si>
  <si>
    <t>S00761</t>
  </si>
  <si>
    <t>F00762</t>
  </si>
  <si>
    <t>2026-09-03 15:30:00</t>
  </si>
  <si>
    <t>S00762</t>
  </si>
  <si>
    <t>F00763</t>
  </si>
  <si>
    <t>2026-09-03 15:35:00</t>
  </si>
  <si>
    <t>S00763</t>
  </si>
  <si>
    <t>F00764</t>
  </si>
  <si>
    <t>2026-09-03 15:40:00</t>
  </si>
  <si>
    <t>S00764</t>
  </si>
  <si>
    <t>F00765</t>
  </si>
  <si>
    <t>2026-09-03 15:45:00</t>
  </si>
  <si>
    <t>S00765</t>
  </si>
  <si>
    <t>F00766</t>
  </si>
  <si>
    <t>2026-09-03 15:50:00</t>
  </si>
  <si>
    <t>S00766</t>
  </si>
  <si>
    <t>F00767</t>
  </si>
  <si>
    <t>2026-09-03 15:55:00</t>
  </si>
  <si>
    <t>S00767</t>
  </si>
  <si>
    <t>F00768</t>
  </si>
  <si>
    <t>2026-09-03 16:00:00</t>
  </si>
  <si>
    <t>S00768</t>
  </si>
  <si>
    <t>F00769</t>
  </si>
  <si>
    <t>2026-09-03 16:05:00</t>
  </si>
  <si>
    <t>S00769</t>
  </si>
  <si>
    <t>F00770</t>
  </si>
  <si>
    <t>2026-09-03 16:10:00</t>
  </si>
  <si>
    <t>S00770</t>
  </si>
  <si>
    <t>F00771</t>
  </si>
  <si>
    <t>2026-09-03 16:15:00</t>
  </si>
  <si>
    <t>S00771</t>
  </si>
  <si>
    <t>F00772</t>
  </si>
  <si>
    <t>2026-09-03 16:20:00</t>
  </si>
  <si>
    <t>S00772</t>
  </si>
  <si>
    <t>F00773</t>
  </si>
  <si>
    <t>2026-09-03 16:25:00</t>
  </si>
  <si>
    <t>S00773</t>
  </si>
  <si>
    <t>F00774</t>
  </si>
  <si>
    <t>2026-09-03 16:30:00</t>
  </si>
  <si>
    <t>S00774</t>
  </si>
  <si>
    <t>F00775</t>
  </si>
  <si>
    <t>2026-09-03 16:35:00</t>
  </si>
  <si>
    <t>S00775</t>
  </si>
  <si>
    <t>F00776</t>
  </si>
  <si>
    <t>2026-09-03 16:40:00</t>
  </si>
  <si>
    <t>S00776</t>
  </si>
  <si>
    <t>F00777</t>
  </si>
  <si>
    <t>2026-09-03 16:45:00</t>
  </si>
  <si>
    <t>S00777</t>
  </si>
  <si>
    <t>F00778</t>
  </si>
  <si>
    <t>2026-09-03 16:50:00</t>
  </si>
  <si>
    <t>S00778</t>
  </si>
  <si>
    <t>F00779</t>
  </si>
  <si>
    <t>2026-09-03 16:55:00</t>
  </si>
  <si>
    <t>S00779</t>
  </si>
  <si>
    <t>F00780</t>
  </si>
  <si>
    <t>2026-09-03 17:00:00</t>
  </si>
  <si>
    <t>S00780</t>
  </si>
  <si>
    <t>F00781</t>
  </si>
  <si>
    <t>2026-09-03 17:05:00</t>
  </si>
  <si>
    <t>S00781</t>
  </si>
  <si>
    <t>F00782</t>
  </si>
  <si>
    <t>2026-09-03 17:10:00</t>
  </si>
  <si>
    <t>S00782</t>
  </si>
  <si>
    <t>F00783</t>
  </si>
  <si>
    <t>2026-09-03 17:15:00</t>
  </si>
  <si>
    <t>S00783</t>
  </si>
  <si>
    <t>F00784</t>
  </si>
  <si>
    <t>2026-09-03 17:20:00</t>
  </si>
  <si>
    <t>S00784</t>
  </si>
  <si>
    <t>F00785</t>
  </si>
  <si>
    <t>2026-09-03 17:25:00</t>
  </si>
  <si>
    <t>S00785</t>
  </si>
  <si>
    <t>F00786</t>
  </si>
  <si>
    <t>2026-09-03 17:30:00</t>
  </si>
  <si>
    <t>S00786</t>
  </si>
  <si>
    <t>F00787</t>
  </si>
  <si>
    <t>2026-09-03 17:35:00</t>
  </si>
  <si>
    <t>S00787</t>
  </si>
  <si>
    <t>F00788</t>
  </si>
  <si>
    <t>2026-09-03 17:40:00</t>
  </si>
  <si>
    <t>S00788</t>
  </si>
  <si>
    <t>F00789</t>
  </si>
  <si>
    <t>2026-09-03 17:45:00</t>
  </si>
  <si>
    <t>S00789</t>
  </si>
  <si>
    <t>F00790</t>
  </si>
  <si>
    <t>2026-09-03 17:50:00</t>
  </si>
  <si>
    <t>S00790</t>
  </si>
  <si>
    <t>F00791</t>
  </si>
  <si>
    <t>2026-09-03 17:55:00</t>
  </si>
  <si>
    <t>S00791</t>
  </si>
  <si>
    <t>F00792</t>
  </si>
  <si>
    <t>2026-09-03 18:00:00</t>
  </si>
  <si>
    <t>S00792</t>
  </si>
  <si>
    <t>F00793</t>
  </si>
  <si>
    <t>2026-09-03 18:05:00</t>
  </si>
  <si>
    <t>S00793</t>
  </si>
  <si>
    <t>F00794</t>
  </si>
  <si>
    <t>2026-09-03 18:10:00</t>
  </si>
  <si>
    <t>S00794</t>
  </si>
  <si>
    <t>F00795</t>
  </si>
  <si>
    <t>2026-09-03 18:15:00</t>
  </si>
  <si>
    <t>S00795</t>
  </si>
  <si>
    <t>F00796</t>
  </si>
  <si>
    <t>2026-09-03 18:20:00</t>
  </si>
  <si>
    <t>S00796</t>
  </si>
  <si>
    <t>F00797</t>
  </si>
  <si>
    <t>2026-09-03 18:25:00</t>
  </si>
  <si>
    <t>S00797</t>
  </si>
  <si>
    <t>F00798</t>
  </si>
  <si>
    <t>2026-09-03 18:30:00</t>
  </si>
  <si>
    <t>S00798</t>
  </si>
  <si>
    <t>F00799</t>
  </si>
  <si>
    <t>2026-09-03 18:35:00</t>
  </si>
  <si>
    <t>S00799</t>
  </si>
  <si>
    <t>F00800</t>
  </si>
  <si>
    <t>2026-09-03 18:40:00</t>
  </si>
  <si>
    <t>S00800</t>
  </si>
  <si>
    <t>F00801</t>
  </si>
  <si>
    <t>2026-09-03 18:45:00</t>
  </si>
  <si>
    <t>S00801</t>
  </si>
  <si>
    <t>F00802</t>
  </si>
  <si>
    <t>2026-09-03 18:50:00</t>
  </si>
  <si>
    <t>S00802</t>
  </si>
  <si>
    <t>F00803</t>
  </si>
  <si>
    <t>2026-09-03 18:55:00</t>
  </si>
  <si>
    <t>S00803</t>
  </si>
  <si>
    <t>F00804</t>
  </si>
  <si>
    <t>2026-09-03 19:00:00</t>
  </si>
  <si>
    <t>S00804</t>
  </si>
  <si>
    <t>F00805</t>
  </si>
  <si>
    <t>2026-09-03 19:05:00</t>
  </si>
  <si>
    <t>S00805</t>
  </si>
  <si>
    <t>F00806</t>
  </si>
  <si>
    <t>2026-09-03 19:10:00</t>
  </si>
  <si>
    <t>S00806</t>
  </si>
  <si>
    <t>F00807</t>
  </si>
  <si>
    <t>2026-09-03 19:15:00</t>
  </si>
  <si>
    <t>S00807</t>
  </si>
  <si>
    <t>F00808</t>
  </si>
  <si>
    <t>2026-09-03 19:20:00</t>
  </si>
  <si>
    <t>S00808</t>
  </si>
  <si>
    <t>F00809</t>
  </si>
  <si>
    <t>2026-09-03 19:25:00</t>
  </si>
  <si>
    <t>S00809</t>
  </si>
  <si>
    <t>F00810</t>
  </si>
  <si>
    <t>2026-09-03 19:30:00</t>
  </si>
  <si>
    <t>S00810</t>
  </si>
  <si>
    <t>F00811</t>
  </si>
  <si>
    <t>2026-09-03 19:35:00</t>
  </si>
  <si>
    <t>S00811</t>
  </si>
  <si>
    <t>F00812</t>
  </si>
  <si>
    <t>2026-09-03 19:40:00</t>
  </si>
  <si>
    <t>S00812</t>
  </si>
  <si>
    <t>F00813</t>
  </si>
  <si>
    <t>2026-09-03 19:45:00</t>
  </si>
  <si>
    <t>S00813</t>
  </si>
  <si>
    <t>F00814</t>
  </si>
  <si>
    <t>2026-09-03 19:50:00</t>
  </si>
  <si>
    <t>S00814</t>
  </si>
  <si>
    <t>F00815</t>
  </si>
  <si>
    <t>2026-09-03 19:55:00</t>
  </si>
  <si>
    <t>S00815</t>
  </si>
  <si>
    <t>F00816</t>
  </si>
  <si>
    <t>2026-09-03 20:00:00</t>
  </si>
  <si>
    <t>S00816</t>
  </si>
  <si>
    <t>F00817</t>
  </si>
  <si>
    <t>2026-09-03 20:05:00</t>
  </si>
  <si>
    <t>S00817</t>
  </si>
  <si>
    <t>F00818</t>
  </si>
  <si>
    <t>2026-09-03 20:10:00</t>
  </si>
  <si>
    <t>S00818</t>
  </si>
  <si>
    <t>F00819</t>
  </si>
  <si>
    <t>2026-09-03 20:15:00</t>
  </si>
  <si>
    <t>S00819</t>
  </si>
  <si>
    <t>F00820</t>
  </si>
  <si>
    <t>2026-09-03 20:20:00</t>
  </si>
  <si>
    <t>S00820</t>
  </si>
  <si>
    <t>F00821</t>
  </si>
  <si>
    <t>2026-09-03 20:25:00</t>
  </si>
  <si>
    <t>S00821</t>
  </si>
  <si>
    <t>F00822</t>
  </si>
  <si>
    <t>2026-09-03 20:30:00</t>
  </si>
  <si>
    <t>S00822</t>
  </si>
  <si>
    <t>F00823</t>
  </si>
  <si>
    <t>2026-09-03 20:35:00</t>
  </si>
  <si>
    <t>S00823</t>
  </si>
  <si>
    <t>F00824</t>
  </si>
  <si>
    <t>2026-09-03 20:40:00</t>
  </si>
  <si>
    <t>S00824</t>
  </si>
  <si>
    <t>F00825</t>
  </si>
  <si>
    <t>2026-09-03 20:45:00</t>
  </si>
  <si>
    <t>S00825</t>
  </si>
  <si>
    <t>F00826</t>
  </si>
  <si>
    <t>2026-09-03 20:50:00</t>
  </si>
  <si>
    <t>S00826</t>
  </si>
  <si>
    <t>F00827</t>
  </si>
  <si>
    <t>2026-09-03 20:55:00</t>
  </si>
  <si>
    <t>S00827</t>
  </si>
  <si>
    <t>F00828</t>
  </si>
  <si>
    <t>2026-09-03 21:00:00</t>
  </si>
  <si>
    <t>S00828</t>
  </si>
  <si>
    <t>F00829</t>
  </si>
  <si>
    <t>2026-09-03 21:05:00</t>
  </si>
  <si>
    <t>S00829</t>
  </si>
  <si>
    <t>F00830</t>
  </si>
  <si>
    <t>2026-09-03 21:10:00</t>
  </si>
  <si>
    <t>S00830</t>
  </si>
  <si>
    <t>F00831</t>
  </si>
  <si>
    <t>2026-09-03 21:15:00</t>
  </si>
  <si>
    <t>S00831</t>
  </si>
  <si>
    <t>F00832</t>
  </si>
  <si>
    <t>2026-09-03 21:20:00</t>
  </si>
  <si>
    <t>S00832</t>
  </si>
  <si>
    <t>F00833</t>
  </si>
  <si>
    <t>2026-09-03 21:25:00</t>
  </si>
  <si>
    <t>S00833</t>
  </si>
  <si>
    <t>F00834</t>
  </si>
  <si>
    <t>2026-09-03 21:30:00</t>
  </si>
  <si>
    <t>S00834</t>
  </si>
  <si>
    <t>F00835</t>
  </si>
  <si>
    <t>2026-09-03 21:35:00</t>
  </si>
  <si>
    <t>S00835</t>
  </si>
  <si>
    <t>F00836</t>
  </si>
  <si>
    <t>2026-09-03 21:40:00</t>
  </si>
  <si>
    <t>S00836</t>
  </si>
  <si>
    <t>F00837</t>
  </si>
  <si>
    <t>2026-09-03 21:45:00</t>
  </si>
  <si>
    <t>S00837</t>
  </si>
  <si>
    <t>F00838</t>
  </si>
  <si>
    <t>2026-09-03 21:50:00</t>
  </si>
  <si>
    <t>S00838</t>
  </si>
  <si>
    <t>F00839</t>
  </si>
  <si>
    <t>2026-09-03 21:55:00</t>
  </si>
  <si>
    <t>S00839</t>
  </si>
  <si>
    <t>F00840</t>
  </si>
  <si>
    <t>2026-09-03 22:00:00</t>
  </si>
  <si>
    <t>S00840</t>
  </si>
  <si>
    <t>F00841</t>
  </si>
  <si>
    <t>2026-09-03 22:05:00</t>
  </si>
  <si>
    <t>S00841</t>
  </si>
  <si>
    <t>F00842</t>
  </si>
  <si>
    <t>2026-09-03 22:10:00</t>
  </si>
  <si>
    <t>S00842</t>
  </si>
  <si>
    <t>F00843</t>
  </si>
  <si>
    <t>2026-09-03 22:15:00</t>
  </si>
  <si>
    <t>S00843</t>
  </si>
  <si>
    <t>F00844</t>
  </si>
  <si>
    <t>2026-09-03 22:20:00</t>
  </si>
  <si>
    <t>S00844</t>
  </si>
  <si>
    <t>F00845</t>
  </si>
  <si>
    <t>2026-09-03 22:25:00</t>
  </si>
  <si>
    <t>S00845</t>
  </si>
  <si>
    <t>F00846</t>
  </si>
  <si>
    <t>2026-09-03 22:30:00</t>
  </si>
  <si>
    <t>S00846</t>
  </si>
  <si>
    <t>F00847</t>
  </si>
  <si>
    <t>2026-09-03 22:35:00</t>
  </si>
  <si>
    <t>S00847</t>
  </si>
  <si>
    <t>F00848</t>
  </si>
  <si>
    <t>2026-09-03 22:40:00</t>
  </si>
  <si>
    <t>S00848</t>
  </si>
  <si>
    <t>F00849</t>
  </si>
  <si>
    <t>2026-09-03 22:45:00</t>
  </si>
  <si>
    <t>S00849</t>
  </si>
  <si>
    <t>F00850</t>
  </si>
  <si>
    <t>2026-09-03 22:50:00</t>
  </si>
  <si>
    <t>S00850</t>
  </si>
  <si>
    <t>F00851</t>
  </si>
  <si>
    <t>2026-09-03 22:55:00</t>
  </si>
  <si>
    <t>S00851</t>
  </si>
  <si>
    <t>F00852</t>
  </si>
  <si>
    <t>2026-09-03 23:00:00</t>
  </si>
  <si>
    <t>S00852</t>
  </si>
  <si>
    <t>F00853</t>
  </si>
  <si>
    <t>2026-09-03 23:05:00</t>
  </si>
  <si>
    <t>S00853</t>
  </si>
  <si>
    <t>F00854</t>
  </si>
  <si>
    <t>2026-09-03 23:10:00</t>
  </si>
  <si>
    <t>S00854</t>
  </si>
  <si>
    <t>F00855</t>
  </si>
  <si>
    <t>2026-09-03 23:15:00</t>
  </si>
  <si>
    <t>S00855</t>
  </si>
  <si>
    <t>F00856</t>
  </si>
  <si>
    <t>2026-09-03 23:20:00</t>
  </si>
  <si>
    <t>S00856</t>
  </si>
  <si>
    <t>F00857</t>
  </si>
  <si>
    <t>2026-09-03 23:25:00</t>
  </si>
  <si>
    <t>S00857</t>
  </si>
  <si>
    <t>F00858</t>
  </si>
  <si>
    <t>2026-09-03 23:30:00</t>
  </si>
  <si>
    <t>S00858</t>
  </si>
  <si>
    <t>F00859</t>
  </si>
  <si>
    <t>2026-09-03 23:35:00</t>
  </si>
  <si>
    <t>S00859</t>
  </si>
  <si>
    <t>F00860</t>
  </si>
  <si>
    <t>2026-09-03 23:40:00</t>
  </si>
  <si>
    <t>S00860</t>
  </si>
  <si>
    <t>F00861</t>
  </si>
  <si>
    <t>2026-09-03 23:45:00</t>
  </si>
  <si>
    <t>S00861</t>
  </si>
  <si>
    <t>F00862</t>
  </si>
  <si>
    <t>2026-09-03 23:50:00</t>
  </si>
  <si>
    <t>S00862</t>
  </si>
  <si>
    <t>F00863</t>
  </si>
  <si>
    <t>2026-09-03 23:55:00</t>
  </si>
  <si>
    <t>S00863</t>
  </si>
  <si>
    <t>F00864</t>
  </si>
  <si>
    <t>2026-09-04 00:00:00</t>
  </si>
  <si>
    <t>S00864</t>
  </si>
  <si>
    <t>F00865</t>
  </si>
  <si>
    <t>2026-09-04 00:05:00</t>
  </si>
  <si>
    <t>S00865</t>
  </si>
  <si>
    <t>F00866</t>
  </si>
  <si>
    <t>2026-09-04 00:10:00</t>
  </si>
  <si>
    <t>S00866</t>
  </si>
  <si>
    <t>F00867</t>
  </si>
  <si>
    <t>2026-09-04 00:15:00</t>
  </si>
  <si>
    <t>S00867</t>
  </si>
  <si>
    <t>F00868</t>
  </si>
  <si>
    <t>2026-09-04 00:20:00</t>
  </si>
  <si>
    <t>S00868</t>
  </si>
  <si>
    <t>F00869</t>
  </si>
  <si>
    <t>2026-09-04 00:25:00</t>
  </si>
  <si>
    <t>S00869</t>
  </si>
  <si>
    <t>F00870</t>
  </si>
  <si>
    <t>2026-09-04 00:30:00</t>
  </si>
  <si>
    <t>S00870</t>
  </si>
  <si>
    <t>F00871</t>
  </si>
  <si>
    <t>2026-09-04 00:35:00</t>
  </si>
  <si>
    <t>S00871</t>
  </si>
  <si>
    <t>F00872</t>
  </si>
  <si>
    <t>2026-09-04 00:40:00</t>
  </si>
  <si>
    <t>S00872</t>
  </si>
  <si>
    <t>F00873</t>
  </si>
  <si>
    <t>2026-09-04 00:45:00</t>
  </si>
  <si>
    <t>S00873</t>
  </si>
  <si>
    <t>F00874</t>
  </si>
  <si>
    <t>2026-09-04 00:50:00</t>
  </si>
  <si>
    <t>S00874</t>
  </si>
  <si>
    <t>F00875</t>
  </si>
  <si>
    <t>2026-09-04 00:55:00</t>
  </si>
  <si>
    <t>S00875</t>
  </si>
  <si>
    <t>F00876</t>
  </si>
  <si>
    <t>2026-09-04 01:00:00</t>
  </si>
  <si>
    <t>S00876</t>
  </si>
  <si>
    <t>F00877</t>
  </si>
  <si>
    <t>2026-09-04 01:05:00</t>
  </si>
  <si>
    <t>S00877</t>
  </si>
  <si>
    <t>F00878</t>
  </si>
  <si>
    <t>2026-09-04 01:10:00</t>
  </si>
  <si>
    <t>S00878</t>
  </si>
  <si>
    <t>F00879</t>
  </si>
  <si>
    <t>2026-09-04 01:15:00</t>
  </si>
  <si>
    <t>S00879</t>
  </si>
  <si>
    <t>F00880</t>
  </si>
  <si>
    <t>2026-09-04 01:20:00</t>
  </si>
  <si>
    <t>S00880</t>
  </si>
  <si>
    <t>F00881</t>
  </si>
  <si>
    <t>2026-09-04 01:25:00</t>
  </si>
  <si>
    <t>S00881</t>
  </si>
  <si>
    <t>F00882</t>
  </si>
  <si>
    <t>2026-09-04 01:30:00</t>
  </si>
  <si>
    <t>S00882</t>
  </si>
  <si>
    <t>F00883</t>
  </si>
  <si>
    <t>2026-09-04 01:35:00</t>
  </si>
  <si>
    <t>S00883</t>
  </si>
  <si>
    <t>F00884</t>
  </si>
  <si>
    <t>2026-09-04 01:40:00</t>
  </si>
  <si>
    <t>S00884</t>
  </si>
  <si>
    <t>F00885</t>
  </si>
  <si>
    <t>2026-09-04 01:45:00</t>
  </si>
  <si>
    <t>S00885</t>
  </si>
  <si>
    <t>F00886</t>
  </si>
  <si>
    <t>2026-09-04 01:50:00</t>
  </si>
  <si>
    <t>S00886</t>
  </si>
  <si>
    <t>F00887</t>
  </si>
  <si>
    <t>2026-09-04 01:55:00</t>
  </si>
  <si>
    <t>S00887</t>
  </si>
  <si>
    <t>F00888</t>
  </si>
  <si>
    <t>2026-09-04 02:00:00</t>
  </si>
  <si>
    <t>S00888</t>
  </si>
  <si>
    <t>F00889</t>
  </si>
  <si>
    <t>2026-09-04 02:05:00</t>
  </si>
  <si>
    <t>S00889</t>
  </si>
  <si>
    <t>F00890</t>
  </si>
  <si>
    <t>2026-09-04 02:10:00</t>
  </si>
  <si>
    <t>S00890</t>
  </si>
  <si>
    <t>F00891</t>
  </si>
  <si>
    <t>2026-09-04 02:15:00</t>
  </si>
  <si>
    <t>S00891</t>
  </si>
  <si>
    <t>F00892</t>
  </si>
  <si>
    <t>2026-09-04 02:20:00</t>
  </si>
  <si>
    <t>S00892</t>
  </si>
  <si>
    <t>F00893</t>
  </si>
  <si>
    <t>2026-09-04 02:25:00</t>
  </si>
  <si>
    <t>S00893</t>
  </si>
  <si>
    <t>F00894</t>
  </si>
  <si>
    <t>2026-09-04 02:30:00</t>
  </si>
  <si>
    <t>S00894</t>
  </si>
  <si>
    <t>F00895</t>
  </si>
  <si>
    <t>2026-09-04 02:35:00</t>
  </si>
  <si>
    <t>S00895</t>
  </si>
  <si>
    <t>F00896</t>
  </si>
  <si>
    <t>2026-09-04 02:40:00</t>
  </si>
  <si>
    <t>S00896</t>
  </si>
  <si>
    <t>F00897</t>
  </si>
  <si>
    <t>2026-09-04 02:45:00</t>
  </si>
  <si>
    <t>S00897</t>
  </si>
  <si>
    <t>F00898</t>
  </si>
  <si>
    <t>2026-09-04 02:50:00</t>
  </si>
  <si>
    <t>S00898</t>
  </si>
  <si>
    <t>F00899</t>
  </si>
  <si>
    <t>2026-09-04 02:55:00</t>
  </si>
  <si>
    <t>S00899</t>
  </si>
  <si>
    <t>F00900</t>
  </si>
  <si>
    <t>2026-09-04 03:00:00</t>
  </si>
  <si>
    <t>S00900</t>
  </si>
  <si>
    <t>F00901</t>
  </si>
  <si>
    <t>2026-09-04 03:05:00</t>
  </si>
  <si>
    <t>S00901</t>
  </si>
  <si>
    <t>F00902</t>
  </si>
  <si>
    <t>2026-09-04 03:10:00</t>
  </si>
  <si>
    <t>S00902</t>
  </si>
  <si>
    <t>F00903</t>
  </si>
  <si>
    <t>2026-09-04 03:15:00</t>
  </si>
  <si>
    <t>S00903</t>
  </si>
  <si>
    <t>F00904</t>
  </si>
  <si>
    <t>2026-09-04 03:20:00</t>
  </si>
  <si>
    <t>S00904</t>
  </si>
  <si>
    <t>F00905</t>
  </si>
  <si>
    <t>2026-09-04 03:25:00</t>
  </si>
  <si>
    <t>S00905</t>
  </si>
  <si>
    <t>F00906</t>
  </si>
  <si>
    <t>2026-09-04 03:30:00</t>
  </si>
  <si>
    <t>S00906</t>
  </si>
  <si>
    <t>F00907</t>
  </si>
  <si>
    <t>2026-09-04 03:35:00</t>
  </si>
  <si>
    <t>S00907</t>
  </si>
  <si>
    <t>F00908</t>
  </si>
  <si>
    <t>2026-09-04 03:40:00</t>
  </si>
  <si>
    <t>S00908</t>
  </si>
  <si>
    <t>F00909</t>
  </si>
  <si>
    <t>2026-09-04 03:45:00</t>
  </si>
  <si>
    <t>S00909</t>
  </si>
  <si>
    <t>F00910</t>
  </si>
  <si>
    <t>2026-09-04 03:50:00</t>
  </si>
  <si>
    <t>S00910</t>
  </si>
  <si>
    <t>F00911</t>
  </si>
  <si>
    <t>2026-09-04 03:55:00</t>
  </si>
  <si>
    <t>S00911</t>
  </si>
  <si>
    <t>F00912</t>
  </si>
  <si>
    <t>2026-09-04 04:00:00</t>
  </si>
  <si>
    <t>S00912</t>
  </si>
  <si>
    <t>F00913</t>
  </si>
  <si>
    <t>2026-09-04 04:05:00</t>
  </si>
  <si>
    <t>S00913</t>
  </si>
  <si>
    <t>F00914</t>
  </si>
  <si>
    <t>2026-09-04 04:10:00</t>
  </si>
  <si>
    <t>S00914</t>
  </si>
  <si>
    <t>F00915</t>
  </si>
  <si>
    <t>2026-09-04 04:15:00</t>
  </si>
  <si>
    <t>S00915</t>
  </si>
  <si>
    <t>F00916</t>
  </si>
  <si>
    <t>2026-09-04 04:20:00</t>
  </si>
  <si>
    <t>S00916</t>
  </si>
  <si>
    <t>F00917</t>
  </si>
  <si>
    <t>2026-09-04 04:25:00</t>
  </si>
  <si>
    <t>S00917</t>
  </si>
  <si>
    <t>F00918</t>
  </si>
  <si>
    <t>2026-09-04 04:30:00</t>
  </si>
  <si>
    <t>S00918</t>
  </si>
  <si>
    <t>F00919</t>
  </si>
  <si>
    <t>2026-09-04 04:35:00</t>
  </si>
  <si>
    <t>S00919</t>
  </si>
  <si>
    <t>F00920</t>
  </si>
  <si>
    <t>2026-09-04 04:40:00</t>
  </si>
  <si>
    <t>S00920</t>
  </si>
  <si>
    <t>F00921</t>
  </si>
  <si>
    <t>2026-09-04 04:45:00</t>
  </si>
  <si>
    <t>S00921</t>
  </si>
  <si>
    <t>F00922</t>
  </si>
  <si>
    <t>2026-09-04 04:50:00</t>
  </si>
  <si>
    <t>S00922</t>
  </si>
  <si>
    <t>F00923</t>
  </si>
  <si>
    <t>2026-09-04 04:55:00</t>
  </si>
  <si>
    <t>S00923</t>
  </si>
  <si>
    <t>F00924</t>
  </si>
  <si>
    <t>2026-09-04 05:00:00</t>
  </si>
  <si>
    <t>S00924</t>
  </si>
  <si>
    <t>F00925</t>
  </si>
  <si>
    <t>2026-09-04 05:05:00</t>
  </si>
  <si>
    <t>S00925</t>
  </si>
  <si>
    <t>F00926</t>
  </si>
  <si>
    <t>2026-09-04 05:10:00</t>
  </si>
  <si>
    <t>S00926</t>
  </si>
  <si>
    <t>F00927</t>
  </si>
  <si>
    <t>2026-09-04 05:15:00</t>
  </si>
  <si>
    <t>S00927</t>
  </si>
  <si>
    <t>F00928</t>
  </si>
  <si>
    <t>2026-09-04 05:20:00</t>
  </si>
  <si>
    <t>S00928</t>
  </si>
  <si>
    <t>F00929</t>
  </si>
  <si>
    <t>2026-09-04 05:25:00</t>
  </si>
  <si>
    <t>S00929</t>
  </si>
  <si>
    <t>F00930</t>
  </si>
  <si>
    <t>2026-09-04 05:30:00</t>
  </si>
  <si>
    <t>S00930</t>
  </si>
  <si>
    <t>F00931</t>
  </si>
  <si>
    <t>2026-09-04 05:35:00</t>
  </si>
  <si>
    <t>S00931</t>
  </si>
  <si>
    <t>F00932</t>
  </si>
  <si>
    <t>2026-09-04 05:40:00</t>
  </si>
  <si>
    <t>S00932</t>
  </si>
  <si>
    <t>F00933</t>
  </si>
  <si>
    <t>2026-09-04 05:45:00</t>
  </si>
  <si>
    <t>S00933</t>
  </si>
  <si>
    <t>F00934</t>
  </si>
  <si>
    <t>2026-09-04 05:50:00</t>
  </si>
  <si>
    <t>S00934</t>
  </si>
  <si>
    <t>F00935</t>
  </si>
  <si>
    <t>2026-09-04 05:55:00</t>
  </si>
  <si>
    <t>S00935</t>
  </si>
  <si>
    <t>F00936</t>
  </si>
  <si>
    <t>2026-09-04 06:00:00</t>
  </si>
  <si>
    <t>S00936</t>
  </si>
  <si>
    <t>F00937</t>
  </si>
  <si>
    <t>2026-09-04 06:05:00</t>
  </si>
  <si>
    <t>S00937</t>
  </si>
  <si>
    <t>F00938</t>
  </si>
  <si>
    <t>2026-09-04 06:10:00</t>
  </si>
  <si>
    <t>S00938</t>
  </si>
  <si>
    <t>F00939</t>
  </si>
  <si>
    <t>2026-09-04 06:15:00</t>
  </si>
  <si>
    <t>S00939</t>
  </si>
  <si>
    <t>F00940</t>
  </si>
  <si>
    <t>2026-09-04 06:20:00</t>
  </si>
  <si>
    <t>S00940</t>
  </si>
  <si>
    <t>F00941</t>
  </si>
  <si>
    <t>2026-09-04 06:25:00</t>
  </si>
  <si>
    <t>S00941</t>
  </si>
  <si>
    <t>F00942</t>
  </si>
  <si>
    <t>2026-09-04 06:30:00</t>
  </si>
  <si>
    <t>S00942</t>
  </si>
  <si>
    <t>F00943</t>
  </si>
  <si>
    <t>2026-09-04 06:35:00</t>
  </si>
  <si>
    <t>S00943</t>
  </si>
  <si>
    <t>F00944</t>
  </si>
  <si>
    <t>2026-09-04 06:40:00</t>
  </si>
  <si>
    <t>S00944</t>
  </si>
  <si>
    <t>F00945</t>
  </si>
  <si>
    <t>2026-09-04 06:45:00</t>
  </si>
  <si>
    <t>S00945</t>
  </si>
  <si>
    <t>F00946</t>
  </si>
  <si>
    <t>2026-09-04 06:50:00</t>
  </si>
  <si>
    <t>S00946</t>
  </si>
  <si>
    <t>F00947</t>
  </si>
  <si>
    <t>2026-09-04 06:55:00</t>
  </si>
  <si>
    <t>S00947</t>
  </si>
  <si>
    <t>F00948</t>
  </si>
  <si>
    <t>2026-09-04 07:00:00</t>
  </si>
  <si>
    <t>S00948</t>
  </si>
  <si>
    <t>F00949</t>
  </si>
  <si>
    <t>2026-09-04 07:05:00</t>
  </si>
  <si>
    <t>S00949</t>
  </si>
  <si>
    <t>F00950</t>
  </si>
  <si>
    <t>2026-09-04 07:10:00</t>
  </si>
  <si>
    <t>S00950</t>
  </si>
  <si>
    <t>F00951</t>
  </si>
  <si>
    <t>2026-09-04 07:15:00</t>
  </si>
  <si>
    <t>S00951</t>
  </si>
  <si>
    <t>F00952</t>
  </si>
  <si>
    <t>2026-09-04 07:20:00</t>
  </si>
  <si>
    <t>S00952</t>
  </si>
  <si>
    <t>F00953</t>
  </si>
  <si>
    <t>2026-09-04 07:25:00</t>
  </si>
  <si>
    <t>S00953</t>
  </si>
  <si>
    <t>F00954</t>
  </si>
  <si>
    <t>2026-09-04 07:30:00</t>
  </si>
  <si>
    <t>S00954</t>
  </si>
  <si>
    <t>F00955</t>
  </si>
  <si>
    <t>2026-09-04 07:35:00</t>
  </si>
  <si>
    <t>S00955</t>
  </si>
  <si>
    <t>F00956</t>
  </si>
  <si>
    <t>2026-09-04 07:40:00</t>
  </si>
  <si>
    <t>S00956</t>
  </si>
  <si>
    <t>F00957</t>
  </si>
  <si>
    <t>2026-09-04 07:45:00</t>
  </si>
  <si>
    <t>S00957</t>
  </si>
  <si>
    <t>F00958</t>
  </si>
  <si>
    <t>2026-09-04 07:50:00</t>
  </si>
  <si>
    <t>S00958</t>
  </si>
  <si>
    <t>F00959</t>
  </si>
  <si>
    <t>2026-09-04 07:55:00</t>
  </si>
  <si>
    <t>S00959</t>
  </si>
  <si>
    <t>F00960</t>
  </si>
  <si>
    <t>2026-09-04 08:00:00</t>
  </si>
  <si>
    <t>S00960</t>
  </si>
  <si>
    <t>F00961</t>
  </si>
  <si>
    <t>2026-09-04 08:05:00</t>
  </si>
  <si>
    <t>S00961</t>
  </si>
  <si>
    <t>F00962</t>
  </si>
  <si>
    <t>2026-09-04 08:10:00</t>
  </si>
  <si>
    <t>S00962</t>
  </si>
  <si>
    <t>F00963</t>
  </si>
  <si>
    <t>2026-09-04 08:15:00</t>
  </si>
  <si>
    <t>S00963</t>
  </si>
  <si>
    <t>F00964</t>
  </si>
  <si>
    <t>2026-09-04 08:20:00</t>
  </si>
  <si>
    <t>S00964</t>
  </si>
  <si>
    <t>F00965</t>
  </si>
  <si>
    <t>2026-09-04 08:25:00</t>
  </si>
  <si>
    <t>S00965</t>
  </si>
  <si>
    <t>F00966</t>
  </si>
  <si>
    <t>2026-09-04 08:30:00</t>
  </si>
  <si>
    <t>S00966</t>
  </si>
  <si>
    <t>F00967</t>
  </si>
  <si>
    <t>2026-09-04 08:35:00</t>
  </si>
  <si>
    <t>S00967</t>
  </si>
  <si>
    <t>F00968</t>
  </si>
  <si>
    <t>2026-09-04 08:40:00</t>
  </si>
  <si>
    <t>S00968</t>
  </si>
  <si>
    <t>F00969</t>
  </si>
  <si>
    <t>2026-09-04 08:45:00</t>
  </si>
  <si>
    <t>S00969</t>
  </si>
  <si>
    <t>F00970</t>
  </si>
  <si>
    <t>2026-09-04 08:50:00</t>
  </si>
  <si>
    <t>S00970</t>
  </si>
  <si>
    <t>F00971</t>
  </si>
  <si>
    <t>2026-09-04 08:55:00</t>
  </si>
  <si>
    <t>S00971</t>
  </si>
  <si>
    <t>F00972</t>
  </si>
  <si>
    <t>2026-09-04 09:00:00</t>
  </si>
  <si>
    <t>S00972</t>
  </si>
  <si>
    <t>F00973</t>
  </si>
  <si>
    <t>2026-09-04 09:05:00</t>
  </si>
  <si>
    <t>S00973</t>
  </si>
  <si>
    <t>F00974</t>
  </si>
  <si>
    <t>2026-09-04 09:10:00</t>
  </si>
  <si>
    <t>S00974</t>
  </si>
  <si>
    <t>F00975</t>
  </si>
  <si>
    <t>2026-09-04 09:15:00</t>
  </si>
  <si>
    <t>S00975</t>
  </si>
  <si>
    <t>F00976</t>
  </si>
  <si>
    <t>2026-09-04 09:20:00</t>
  </si>
  <si>
    <t>S00976</t>
  </si>
  <si>
    <t>F00977</t>
  </si>
  <si>
    <t>2026-09-04 09:25:00</t>
  </si>
  <si>
    <t>S00977</t>
  </si>
  <si>
    <t>F00978</t>
  </si>
  <si>
    <t>2026-09-04 09:30:00</t>
  </si>
  <si>
    <t>S00978</t>
  </si>
  <si>
    <t>F00979</t>
  </si>
  <si>
    <t>2026-09-04 09:35:00</t>
  </si>
  <si>
    <t>S00979</t>
  </si>
  <si>
    <t>F00980</t>
  </si>
  <si>
    <t>2026-09-04 09:40:00</t>
  </si>
  <si>
    <t>S00980</t>
  </si>
  <si>
    <t>F00981</t>
  </si>
  <si>
    <t>2026-09-04 09:45:00</t>
  </si>
  <si>
    <t>S00981</t>
  </si>
  <si>
    <t>F00982</t>
  </si>
  <si>
    <t>2026-09-04 09:50:00</t>
  </si>
  <si>
    <t>S00982</t>
  </si>
  <si>
    <t>F00983</t>
  </si>
  <si>
    <t>2026-09-04 09:55:00</t>
  </si>
  <si>
    <t>S00983</t>
  </si>
  <si>
    <t>F00984</t>
  </si>
  <si>
    <t>2026-09-04 10:00:00</t>
  </si>
  <si>
    <t>S00984</t>
  </si>
  <si>
    <t>F00985</t>
  </si>
  <si>
    <t>2026-09-04 10:05:00</t>
  </si>
  <si>
    <t>S00985</t>
  </si>
  <si>
    <t>F00986</t>
  </si>
  <si>
    <t>2026-09-04 10:10:00</t>
  </si>
  <si>
    <t>S00986</t>
  </si>
  <si>
    <t>F00987</t>
  </si>
  <si>
    <t>2026-09-04 10:15:00</t>
  </si>
  <si>
    <t>S00987</t>
  </si>
  <si>
    <t>F00988</t>
  </si>
  <si>
    <t>2026-09-04 10:20:00</t>
  </si>
  <si>
    <t>S00988</t>
  </si>
  <si>
    <t>F00989</t>
  </si>
  <si>
    <t>2026-09-04 10:25:00</t>
  </si>
  <si>
    <t>S00989</t>
  </si>
  <si>
    <t>F00990</t>
  </si>
  <si>
    <t>2026-09-04 10:30:00</t>
  </si>
  <si>
    <t>S00990</t>
  </si>
  <si>
    <t>F00991</t>
  </si>
  <si>
    <t>2026-09-04 10:35:00</t>
  </si>
  <si>
    <t>S00991</t>
  </si>
  <si>
    <t>F00992</t>
  </si>
  <si>
    <t>2026-09-04 10:40:00</t>
  </si>
  <si>
    <t>S00992</t>
  </si>
  <si>
    <t>F00993</t>
  </si>
  <si>
    <t>2026-09-04 10:45:00</t>
  </si>
  <si>
    <t>S00993</t>
  </si>
  <si>
    <t>F00994</t>
  </si>
  <si>
    <t>2026-09-04 10:50:00</t>
  </si>
  <si>
    <t>S00994</t>
  </si>
  <si>
    <t>F00995</t>
  </si>
  <si>
    <t>2026-09-04 10:55:00</t>
  </si>
  <si>
    <t>S00995</t>
  </si>
  <si>
    <t>F00996</t>
  </si>
  <si>
    <t>2026-09-04 11:00:00</t>
  </si>
  <si>
    <t>S00996</t>
  </si>
  <si>
    <t>F00997</t>
  </si>
  <si>
    <t>2026-09-04 11:05:00</t>
  </si>
  <si>
    <t>S00997</t>
  </si>
  <si>
    <t>F00998</t>
  </si>
  <si>
    <t>2026-09-04 11:10:00</t>
  </si>
  <si>
    <t>S00998</t>
  </si>
  <si>
    <t>F00999</t>
  </si>
  <si>
    <t>2026-09-04 11:15:00</t>
  </si>
  <si>
    <t>S00999</t>
  </si>
  <si>
    <t>F01000</t>
  </si>
  <si>
    <t>2026-09-04 11:20:00</t>
  </si>
  <si>
    <t>S01000</t>
  </si>
  <si>
    <t>F01001</t>
  </si>
  <si>
    <t>2026-09-04 11:25:00</t>
  </si>
  <si>
    <t>S01001</t>
  </si>
  <si>
    <t>F01002</t>
  </si>
  <si>
    <t>2026-09-04 11:30:00</t>
  </si>
  <si>
    <t>S01002</t>
  </si>
  <si>
    <t>F01003</t>
  </si>
  <si>
    <t>2026-09-04 11:35:00</t>
  </si>
  <si>
    <t>S01003</t>
  </si>
  <si>
    <t>F01004</t>
  </si>
  <si>
    <t>2026-09-04 11:40:00</t>
  </si>
  <si>
    <t>S01004</t>
  </si>
  <si>
    <t>F01005</t>
  </si>
  <si>
    <t>2026-09-04 11:45:00</t>
  </si>
  <si>
    <t>S01005</t>
  </si>
  <si>
    <t>F01006</t>
  </si>
  <si>
    <t>2026-09-04 11:50:00</t>
  </si>
  <si>
    <t>S01006</t>
  </si>
  <si>
    <t>F01007</t>
  </si>
  <si>
    <t>2026-09-04 11:55:00</t>
  </si>
  <si>
    <t>S01007</t>
  </si>
  <si>
    <t>F01008</t>
  </si>
  <si>
    <t>2026-09-04 12:00:00</t>
  </si>
  <si>
    <t>S01008</t>
  </si>
  <si>
    <t>F01009</t>
  </si>
  <si>
    <t>2026-09-04 12:05:00</t>
  </si>
  <si>
    <t>S01009</t>
  </si>
  <si>
    <t>F01010</t>
  </si>
  <si>
    <t>2026-09-04 12:10:00</t>
  </si>
  <si>
    <t>S01010</t>
  </si>
  <si>
    <t>F01011</t>
  </si>
  <si>
    <t>2026-09-04 12:15:00</t>
  </si>
  <si>
    <t>S01011</t>
  </si>
  <si>
    <t>F01012</t>
  </si>
  <si>
    <t>2026-09-04 12:20:00</t>
  </si>
  <si>
    <t>S01012</t>
  </si>
  <si>
    <t>F01013</t>
  </si>
  <si>
    <t>2026-09-04 12:25:00</t>
  </si>
  <si>
    <t>S01013</t>
  </si>
  <si>
    <t>F01014</t>
  </si>
  <si>
    <t>2026-09-04 12:30:00</t>
  </si>
  <si>
    <t>S01014</t>
  </si>
  <si>
    <t>F01015</t>
  </si>
  <si>
    <t>2026-09-04 12:35:00</t>
  </si>
  <si>
    <t>S01015</t>
  </si>
  <si>
    <t>F01016</t>
  </si>
  <si>
    <t>2026-09-04 12:40:00</t>
  </si>
  <si>
    <t>S01016</t>
  </si>
  <si>
    <t>F01017</t>
  </si>
  <si>
    <t>2026-09-04 12:45:00</t>
  </si>
  <si>
    <t>S01017</t>
  </si>
  <si>
    <t>F01018</t>
  </si>
  <si>
    <t>2026-09-04 12:50:00</t>
  </si>
  <si>
    <t>S01018</t>
  </si>
  <si>
    <t>F01019</t>
  </si>
  <si>
    <t>2026-09-04 12:55:00</t>
  </si>
  <si>
    <t>S01019</t>
  </si>
  <si>
    <t>F01020</t>
  </si>
  <si>
    <t>2026-09-04 13:00:00</t>
  </si>
  <si>
    <t>S01020</t>
  </si>
  <si>
    <t>F01021</t>
  </si>
  <si>
    <t>2026-09-04 13:05:00</t>
  </si>
  <si>
    <t>S01021</t>
  </si>
  <si>
    <t>F01022</t>
  </si>
  <si>
    <t>2026-09-04 13:10:00</t>
  </si>
  <si>
    <t>S01022</t>
  </si>
  <si>
    <t>F01023</t>
  </si>
  <si>
    <t>2026-09-04 13:15:00</t>
  </si>
  <si>
    <t>S01023</t>
  </si>
  <si>
    <t>F01024</t>
  </si>
  <si>
    <t>2026-09-04 13:20:00</t>
  </si>
  <si>
    <t>S01024</t>
  </si>
  <si>
    <t>F01025</t>
  </si>
  <si>
    <t>2026-09-04 13:25:00</t>
  </si>
  <si>
    <t>S01025</t>
  </si>
  <si>
    <t>F01026</t>
  </si>
  <si>
    <t>2026-09-04 13:30:00</t>
  </si>
  <si>
    <t>S01026</t>
  </si>
  <si>
    <t>F01027</t>
  </si>
  <si>
    <t>2026-09-04 13:35:00</t>
  </si>
  <si>
    <t>S01027</t>
  </si>
  <si>
    <t>F01028</t>
  </si>
  <si>
    <t>2026-09-04 13:40:00</t>
  </si>
  <si>
    <t>S01028</t>
  </si>
  <si>
    <t>F01029</t>
  </si>
  <si>
    <t>2026-09-04 13:45:00</t>
  </si>
  <si>
    <t>S01029</t>
  </si>
  <si>
    <t>F01030</t>
  </si>
  <si>
    <t>2026-09-04 13:50:00</t>
  </si>
  <si>
    <t>S01030</t>
  </si>
  <si>
    <t>F01031</t>
  </si>
  <si>
    <t>2026-09-04 13:55:00</t>
  </si>
  <si>
    <t>S01031</t>
  </si>
  <si>
    <t>F01032</t>
  </si>
  <si>
    <t>2026-09-04 14:00:00</t>
  </si>
  <si>
    <t>S01032</t>
  </si>
  <si>
    <t>F01033</t>
  </si>
  <si>
    <t>2026-09-04 14:05:00</t>
  </si>
  <si>
    <t>S01033</t>
  </si>
  <si>
    <t>F01034</t>
  </si>
  <si>
    <t>2026-09-04 14:10:00</t>
  </si>
  <si>
    <t>S01034</t>
  </si>
  <si>
    <t>F01035</t>
  </si>
  <si>
    <t>2026-09-04 14:15:00</t>
  </si>
  <si>
    <t>S01035</t>
  </si>
  <si>
    <t>F01036</t>
  </si>
  <si>
    <t>2026-09-04 14:20:00</t>
  </si>
  <si>
    <t>S01036</t>
  </si>
  <si>
    <t>F01037</t>
  </si>
  <si>
    <t>2026-09-04 14:25:00</t>
  </si>
  <si>
    <t>S01037</t>
  </si>
  <si>
    <t>F01038</t>
  </si>
  <si>
    <t>2026-09-04 14:30:00</t>
  </si>
  <si>
    <t>S01038</t>
  </si>
  <si>
    <t>F01039</t>
  </si>
  <si>
    <t>2026-09-04 14:35:00</t>
  </si>
  <si>
    <t>S01039</t>
  </si>
  <si>
    <t>F01040</t>
  </si>
  <si>
    <t>2026-09-04 14:40:00</t>
  </si>
  <si>
    <t>S01040</t>
  </si>
  <si>
    <t>F01041</t>
  </si>
  <si>
    <t>2026-09-04 14:45:00</t>
  </si>
  <si>
    <t>S01041</t>
  </si>
  <si>
    <t>F01042</t>
  </si>
  <si>
    <t>2026-09-04 14:50:00</t>
  </si>
  <si>
    <t>S01042</t>
  </si>
  <si>
    <t>F01043</t>
  </si>
  <si>
    <t>2026-09-04 14:55:00</t>
  </si>
  <si>
    <t>S01043</t>
  </si>
  <si>
    <t>F01044</t>
  </si>
  <si>
    <t>2026-09-04 15:00:00</t>
  </si>
  <si>
    <t>S01044</t>
  </si>
  <si>
    <t>F01045</t>
  </si>
  <si>
    <t>2026-09-04 15:05:00</t>
  </si>
  <si>
    <t>S01045</t>
  </si>
  <si>
    <t>F01046</t>
  </si>
  <si>
    <t>2026-09-04 15:10:00</t>
  </si>
  <si>
    <t>S01046</t>
  </si>
  <si>
    <t>F01047</t>
  </si>
  <si>
    <t>2026-09-04 15:15:00</t>
  </si>
  <si>
    <t>S01047</t>
  </si>
  <si>
    <t>F01048</t>
  </si>
  <si>
    <t>2026-09-04 15:20:00</t>
  </si>
  <si>
    <t>S01048</t>
  </si>
  <si>
    <t>F01049</t>
  </si>
  <si>
    <t>2026-09-04 15:25:00</t>
  </si>
  <si>
    <t>S01049</t>
  </si>
  <si>
    <t>F01050</t>
  </si>
  <si>
    <t>2026-09-04 15:30:00</t>
  </si>
  <si>
    <t>S01050</t>
  </si>
  <si>
    <t>F01051</t>
  </si>
  <si>
    <t>2026-09-04 15:35:00</t>
  </si>
  <si>
    <t>S01051</t>
  </si>
  <si>
    <t>F01052</t>
  </si>
  <si>
    <t>2026-09-04 15:40:00</t>
  </si>
  <si>
    <t>S01052</t>
  </si>
  <si>
    <t>F01053</t>
  </si>
  <si>
    <t>2026-09-04 15:45:00</t>
  </si>
  <si>
    <t>S01053</t>
  </si>
  <si>
    <t>F01054</t>
  </si>
  <si>
    <t>2026-09-04 15:50:00</t>
  </si>
  <si>
    <t>S01054</t>
  </si>
  <si>
    <t>F01055</t>
  </si>
  <si>
    <t>2026-09-04 15:55:00</t>
  </si>
  <si>
    <t>S01055</t>
  </si>
  <si>
    <t>F01056</t>
  </si>
  <si>
    <t>2026-09-04 16:00:00</t>
  </si>
  <si>
    <t>S01056</t>
  </si>
  <si>
    <t>F01057</t>
  </si>
  <si>
    <t>2026-09-04 16:05:00</t>
  </si>
  <si>
    <t>S01057</t>
  </si>
  <si>
    <t>F01058</t>
  </si>
  <si>
    <t>2026-09-04 16:10:00</t>
  </si>
  <si>
    <t>S01058</t>
  </si>
  <si>
    <t>F01059</t>
  </si>
  <si>
    <t>2026-09-04 16:15:00</t>
  </si>
  <si>
    <t>S01059</t>
  </si>
  <si>
    <t>F01060</t>
  </si>
  <si>
    <t>2026-09-04 16:20:00</t>
  </si>
  <si>
    <t>S01060</t>
  </si>
  <si>
    <t>F01061</t>
  </si>
  <si>
    <t>2026-09-04 16:25:00</t>
  </si>
  <si>
    <t>S01061</t>
  </si>
  <si>
    <t>F01062</t>
  </si>
  <si>
    <t>2026-09-04 16:30:00</t>
  </si>
  <si>
    <t>S01062</t>
  </si>
  <si>
    <t>F01063</t>
  </si>
  <si>
    <t>2026-09-04 16:35:00</t>
  </si>
  <si>
    <t>S01063</t>
  </si>
  <si>
    <t>F01064</t>
  </si>
  <si>
    <t>2026-09-04 16:40:00</t>
  </si>
  <si>
    <t>S01064</t>
  </si>
  <si>
    <t>F01065</t>
  </si>
  <si>
    <t>2026-09-04 16:45:00</t>
  </si>
  <si>
    <t>S01065</t>
  </si>
  <si>
    <t>F01066</t>
  </si>
  <si>
    <t>2026-09-04 16:50:00</t>
  </si>
  <si>
    <t>S01066</t>
  </si>
  <si>
    <t>F01067</t>
  </si>
  <si>
    <t>2026-09-04 16:55:00</t>
  </si>
  <si>
    <t>S01067</t>
  </si>
  <si>
    <t>F01068</t>
  </si>
  <si>
    <t>2026-09-04 17:00:00</t>
  </si>
  <si>
    <t>S01068</t>
  </si>
  <si>
    <t>F01069</t>
  </si>
  <si>
    <t>2026-09-04 17:05:00</t>
  </si>
  <si>
    <t>S01069</t>
  </si>
  <si>
    <t>F01070</t>
  </si>
  <si>
    <t>2026-09-04 17:10:00</t>
  </si>
  <si>
    <t>S01070</t>
  </si>
  <si>
    <t>F01071</t>
  </si>
  <si>
    <t>2026-09-04 17:15:00</t>
  </si>
  <si>
    <t>S01071</t>
  </si>
  <si>
    <t>F01072</t>
  </si>
  <si>
    <t>2026-09-04 17:20:00</t>
  </si>
  <si>
    <t>S01072</t>
  </si>
  <si>
    <t>F01073</t>
  </si>
  <si>
    <t>2026-09-04 17:25:00</t>
  </si>
  <si>
    <t>S01073</t>
  </si>
  <si>
    <t>F01074</t>
  </si>
  <si>
    <t>2026-09-04 17:30:00</t>
  </si>
  <si>
    <t>S01074</t>
  </si>
  <si>
    <t>F01075</t>
  </si>
  <si>
    <t>2026-09-04 17:35:00</t>
  </si>
  <si>
    <t>S01075</t>
  </si>
  <si>
    <t>F01076</t>
  </si>
  <si>
    <t>2026-09-04 17:40:00</t>
  </si>
  <si>
    <t>S01076</t>
  </si>
  <si>
    <t>F01077</t>
  </si>
  <si>
    <t>2026-09-04 17:45:00</t>
  </si>
  <si>
    <t>S01077</t>
  </si>
  <si>
    <t>F01078</t>
  </si>
  <si>
    <t>2026-09-04 17:50:00</t>
  </si>
  <si>
    <t>S01078</t>
  </si>
  <si>
    <t>F01079</t>
  </si>
  <si>
    <t>2026-09-04 17:55:00</t>
  </si>
  <si>
    <t>S01079</t>
  </si>
  <si>
    <t>F01080</t>
  </si>
  <si>
    <t>2026-09-04 18:00:00</t>
  </si>
  <si>
    <t>S01080</t>
  </si>
  <si>
    <t>F01081</t>
  </si>
  <si>
    <t>2026-09-04 18:05:00</t>
  </si>
  <si>
    <t>S01081</t>
  </si>
  <si>
    <t>F01082</t>
  </si>
  <si>
    <t>2026-09-04 18:10:00</t>
  </si>
  <si>
    <t>S01082</t>
  </si>
  <si>
    <t>F01083</t>
  </si>
  <si>
    <t>2026-09-04 18:15:00</t>
  </si>
  <si>
    <t>S01083</t>
  </si>
  <si>
    <t>F01084</t>
  </si>
  <si>
    <t>2026-09-04 18:20:00</t>
  </si>
  <si>
    <t>S01084</t>
  </si>
  <si>
    <t>F01085</t>
  </si>
  <si>
    <t>2026-09-04 18:25:00</t>
  </si>
  <si>
    <t>S01085</t>
  </si>
  <si>
    <t>F01086</t>
  </si>
  <si>
    <t>2026-09-04 18:30:00</t>
  </si>
  <si>
    <t>S01086</t>
  </si>
  <si>
    <t>F01087</t>
  </si>
  <si>
    <t>2026-09-04 18:35:00</t>
  </si>
  <si>
    <t>S01087</t>
  </si>
  <si>
    <t>F01088</t>
  </si>
  <si>
    <t>2026-09-04 18:40:00</t>
  </si>
  <si>
    <t>S01088</t>
  </si>
  <si>
    <t>F01089</t>
  </si>
  <si>
    <t>2026-09-04 18:45:00</t>
  </si>
  <si>
    <t>S01089</t>
  </si>
  <si>
    <t>F01090</t>
  </si>
  <si>
    <t>2026-09-04 18:50:00</t>
  </si>
  <si>
    <t>S01090</t>
  </si>
  <si>
    <t>F01091</t>
  </si>
  <si>
    <t>2026-09-04 18:55:00</t>
  </si>
  <si>
    <t>S01091</t>
  </si>
  <si>
    <t>F01092</t>
  </si>
  <si>
    <t>2026-09-04 19:00:00</t>
  </si>
  <si>
    <t>S01092</t>
  </si>
  <si>
    <t>F01093</t>
  </si>
  <si>
    <t>2026-09-04 19:05:00</t>
  </si>
  <si>
    <t>S01093</t>
  </si>
  <si>
    <t>F01094</t>
  </si>
  <si>
    <t>2026-09-04 19:10:00</t>
  </si>
  <si>
    <t>S01094</t>
  </si>
  <si>
    <t>F01095</t>
  </si>
  <si>
    <t>2026-09-04 19:15:00</t>
  </si>
  <si>
    <t>S01095</t>
  </si>
  <si>
    <t>F01096</t>
  </si>
  <si>
    <t>2026-09-04 19:20:00</t>
  </si>
  <si>
    <t>S01096</t>
  </si>
  <si>
    <t>F01097</t>
  </si>
  <si>
    <t>2026-09-04 19:25:00</t>
  </si>
  <si>
    <t>S01097</t>
  </si>
  <si>
    <t>F01098</t>
  </si>
  <si>
    <t>2026-09-04 19:30:00</t>
  </si>
  <si>
    <t>S01098</t>
  </si>
  <si>
    <t>F01099</t>
  </si>
  <si>
    <t>2026-09-04 19:35:00</t>
  </si>
  <si>
    <t>S01099</t>
  </si>
  <si>
    <t>F01100</t>
  </si>
  <si>
    <t>2026-09-04 19:40:00</t>
  </si>
  <si>
    <t>S01100</t>
  </si>
  <si>
    <t>F01101</t>
  </si>
  <si>
    <t>2026-09-04 19:45:00</t>
  </si>
  <si>
    <t>S01101</t>
  </si>
  <si>
    <t>F01102</t>
  </si>
  <si>
    <t>2026-09-04 19:50:00</t>
  </si>
  <si>
    <t>S01102</t>
  </si>
  <si>
    <t>F01103</t>
  </si>
  <si>
    <t>2026-09-04 19:55:00</t>
  </si>
  <si>
    <t>S01103</t>
  </si>
  <si>
    <t>F01104</t>
  </si>
  <si>
    <t>2026-09-04 20:00:00</t>
  </si>
  <si>
    <t>S01104</t>
  </si>
  <si>
    <t>F01105</t>
  </si>
  <si>
    <t>2026-09-04 20:05:00</t>
  </si>
  <si>
    <t>S01105</t>
  </si>
  <si>
    <t>F01106</t>
  </si>
  <si>
    <t>2026-09-04 20:10:00</t>
  </si>
  <si>
    <t>S01106</t>
  </si>
  <si>
    <t>F01107</t>
  </si>
  <si>
    <t>2026-09-04 20:15:00</t>
  </si>
  <si>
    <t>S01107</t>
  </si>
  <si>
    <t>F01108</t>
  </si>
  <si>
    <t>2026-09-04 20:20:00</t>
  </si>
  <si>
    <t>S01108</t>
  </si>
  <si>
    <t>F01109</t>
  </si>
  <si>
    <t>2026-09-04 20:25:00</t>
  </si>
  <si>
    <t>S01109</t>
  </si>
  <si>
    <t>F01110</t>
  </si>
  <si>
    <t>2026-09-04 20:30:00</t>
  </si>
  <si>
    <t>S01110</t>
  </si>
  <si>
    <t>F01111</t>
  </si>
  <si>
    <t>2026-09-04 20:35:00</t>
  </si>
  <si>
    <t>S01111</t>
  </si>
  <si>
    <t>F01112</t>
  </si>
  <si>
    <t>2026-09-04 20:40:00</t>
  </si>
  <si>
    <t>S01112</t>
  </si>
  <si>
    <t>F01113</t>
  </si>
  <si>
    <t>2026-09-04 20:45:00</t>
  </si>
  <si>
    <t>S01113</t>
  </si>
  <si>
    <t>F01114</t>
  </si>
  <si>
    <t>2026-09-04 20:50:00</t>
  </si>
  <si>
    <t>S01114</t>
  </si>
  <si>
    <t>F01115</t>
  </si>
  <si>
    <t>2026-09-04 20:55:00</t>
  </si>
  <si>
    <t>S01115</t>
  </si>
  <si>
    <t>F01116</t>
  </si>
  <si>
    <t>2026-09-04 21:00:00</t>
  </si>
  <si>
    <t>S01116</t>
  </si>
  <si>
    <t>F01117</t>
  </si>
  <si>
    <t>2026-09-04 21:05:00</t>
  </si>
  <si>
    <t>S01117</t>
  </si>
  <si>
    <t>F01118</t>
  </si>
  <si>
    <t>2026-09-04 21:10:00</t>
  </si>
  <si>
    <t>S01118</t>
  </si>
  <si>
    <t>F01119</t>
  </si>
  <si>
    <t>2026-09-04 21:15:00</t>
  </si>
  <si>
    <t>S01119</t>
  </si>
  <si>
    <t>F01120</t>
  </si>
  <si>
    <t>2026-09-04 21:20:00</t>
  </si>
  <si>
    <t>S01120</t>
  </si>
  <si>
    <t>F01121</t>
  </si>
  <si>
    <t>2026-09-04 21:25:00</t>
  </si>
  <si>
    <t>S01121</t>
  </si>
  <si>
    <t>F01122</t>
  </si>
  <si>
    <t>2026-09-04 21:30:00</t>
  </si>
  <si>
    <t>S01122</t>
  </si>
  <si>
    <t>F01123</t>
  </si>
  <si>
    <t>2026-09-04 21:35:00</t>
  </si>
  <si>
    <t>S01123</t>
  </si>
  <si>
    <t>F01124</t>
  </si>
  <si>
    <t>2026-09-04 21:40:00</t>
  </si>
  <si>
    <t>S01124</t>
  </si>
  <si>
    <t>F01125</t>
  </si>
  <si>
    <t>2026-09-04 21:45:00</t>
  </si>
  <si>
    <t>S01125</t>
  </si>
  <si>
    <t>F01126</t>
  </si>
  <si>
    <t>2026-09-04 21:50:00</t>
  </si>
  <si>
    <t>S01126</t>
  </si>
  <si>
    <t>F01127</t>
  </si>
  <si>
    <t>2026-09-04 21:55:00</t>
  </si>
  <si>
    <t>S01127</t>
  </si>
  <si>
    <t>F01128</t>
  </si>
  <si>
    <t>2026-09-04 22:00:00</t>
  </si>
  <si>
    <t>S01128</t>
  </si>
  <si>
    <t>F01129</t>
  </si>
  <si>
    <t>2026-09-04 22:05:00</t>
  </si>
  <si>
    <t>S01129</t>
  </si>
  <si>
    <t>F01130</t>
  </si>
  <si>
    <t>2026-09-04 22:10:00</t>
  </si>
  <si>
    <t>S01130</t>
  </si>
  <si>
    <t>F01131</t>
  </si>
  <si>
    <t>2026-09-04 22:15:00</t>
  </si>
  <si>
    <t>S01131</t>
  </si>
  <si>
    <t>F01132</t>
  </si>
  <si>
    <t>2026-09-04 22:20:00</t>
  </si>
  <si>
    <t>S01132</t>
  </si>
  <si>
    <t>F01133</t>
  </si>
  <si>
    <t>2026-09-04 22:25:00</t>
  </si>
  <si>
    <t>S01133</t>
  </si>
  <si>
    <t>F01134</t>
  </si>
  <si>
    <t>2026-09-04 22:30:00</t>
  </si>
  <si>
    <t>S01134</t>
  </si>
  <si>
    <t>F01135</t>
  </si>
  <si>
    <t>2026-09-04 22:35:00</t>
  </si>
  <si>
    <t>S01135</t>
  </si>
  <si>
    <t>F01136</t>
  </si>
  <si>
    <t>2026-09-04 22:40:00</t>
  </si>
  <si>
    <t>S01136</t>
  </si>
  <si>
    <t>F01137</t>
  </si>
  <si>
    <t>2026-09-04 22:45:00</t>
  </si>
  <si>
    <t>S01137</t>
  </si>
  <si>
    <t>F01138</t>
  </si>
  <si>
    <t>2026-09-04 22:50:00</t>
  </si>
  <si>
    <t>S01138</t>
  </si>
  <si>
    <t>F01139</t>
  </si>
  <si>
    <t>2026-09-04 22:55:00</t>
  </si>
  <si>
    <t>S01139</t>
  </si>
  <si>
    <t>F01140</t>
  </si>
  <si>
    <t>2026-09-04 23:00:00</t>
  </si>
  <si>
    <t>S01140</t>
  </si>
  <si>
    <t>F01141</t>
  </si>
  <si>
    <t>2026-09-04 23:05:00</t>
  </si>
  <si>
    <t>S01141</t>
  </si>
  <si>
    <t>F01142</t>
  </si>
  <si>
    <t>2026-09-04 23:10:00</t>
  </si>
  <si>
    <t>S01142</t>
  </si>
  <si>
    <t>F01143</t>
  </si>
  <si>
    <t>2026-09-04 23:15:00</t>
  </si>
  <si>
    <t>S01143</t>
  </si>
  <si>
    <t>F01144</t>
  </si>
  <si>
    <t>2026-09-04 23:20:00</t>
  </si>
  <si>
    <t>S01144</t>
  </si>
  <si>
    <t>F01145</t>
  </si>
  <si>
    <t>2026-09-04 23:25:00</t>
  </si>
  <si>
    <t>S01145</t>
  </si>
  <si>
    <t>F01146</t>
  </si>
  <si>
    <t>2026-09-04 23:30:00</t>
  </si>
  <si>
    <t>S01146</t>
  </si>
  <si>
    <t>F01147</t>
  </si>
  <si>
    <t>2026-09-04 23:35:00</t>
  </si>
  <si>
    <t>S01147</t>
  </si>
  <si>
    <t>F01148</t>
  </si>
  <si>
    <t>2026-09-04 23:40:00</t>
  </si>
  <si>
    <t>S01148</t>
  </si>
  <si>
    <t>F01149</t>
  </si>
  <si>
    <t>2026-09-04 23:45:00</t>
  </si>
  <si>
    <t>S01149</t>
  </si>
  <si>
    <t>F01150</t>
  </si>
  <si>
    <t>2026-09-04 23:50:00</t>
  </si>
  <si>
    <t>S01150</t>
  </si>
  <si>
    <t>F01151</t>
  </si>
  <si>
    <t>2026-09-04 23:55:00</t>
  </si>
  <si>
    <t>S01151</t>
  </si>
  <si>
    <t>F01152</t>
  </si>
  <si>
    <t>2026-09-05 00:00:00</t>
  </si>
  <si>
    <t>S01152</t>
  </si>
  <si>
    <t>F01153</t>
  </si>
  <si>
    <t>2026-09-05 00:05:00</t>
  </si>
  <si>
    <t>S01153</t>
  </si>
  <si>
    <t>F01154</t>
  </si>
  <si>
    <t>2026-09-05 00:10:00</t>
  </si>
  <si>
    <t>S01154</t>
  </si>
  <si>
    <t>F01155</t>
  </si>
  <si>
    <t>2026-09-05 00:15:00</t>
  </si>
  <si>
    <t>S01155</t>
  </si>
  <si>
    <t>F01156</t>
  </si>
  <si>
    <t>2026-09-05 00:20:00</t>
  </si>
  <si>
    <t>S01156</t>
  </si>
  <si>
    <t>F01157</t>
  </si>
  <si>
    <t>2026-09-05 00:25:00</t>
  </si>
  <si>
    <t>S01157</t>
  </si>
  <si>
    <t>F01158</t>
  </si>
  <si>
    <t>2026-09-05 00:30:00</t>
  </si>
  <si>
    <t>S01158</t>
  </si>
  <si>
    <t>F01159</t>
  </si>
  <si>
    <t>2026-09-05 00:35:00</t>
  </si>
  <si>
    <t>S01159</t>
  </si>
  <si>
    <t>F01160</t>
  </si>
  <si>
    <t>2026-09-05 00:40:00</t>
  </si>
  <si>
    <t>S01160</t>
  </si>
  <si>
    <t>F01161</t>
  </si>
  <si>
    <t>2026-09-05 00:45:00</t>
  </si>
  <si>
    <t>S01161</t>
  </si>
  <si>
    <t>F01162</t>
  </si>
  <si>
    <t>2026-09-05 00:50:00</t>
  </si>
  <si>
    <t>S01162</t>
  </si>
  <si>
    <t>F01163</t>
  </si>
  <si>
    <t>2026-09-05 00:55:00</t>
  </si>
  <si>
    <t>S01163</t>
  </si>
  <si>
    <t>F01164</t>
  </si>
  <si>
    <t>2026-09-05 01:00:00</t>
  </si>
  <si>
    <t>S01164</t>
  </si>
  <si>
    <t>F01165</t>
  </si>
  <si>
    <t>2026-09-05 01:05:00</t>
  </si>
  <si>
    <t>S01165</t>
  </si>
  <si>
    <t>F01166</t>
  </si>
  <si>
    <t>2026-09-05 01:10:00</t>
  </si>
  <si>
    <t>S01166</t>
  </si>
  <si>
    <t>F01167</t>
  </si>
  <si>
    <t>2026-09-05 01:15:00</t>
  </si>
  <si>
    <t>S01167</t>
  </si>
  <si>
    <t>F01168</t>
  </si>
  <si>
    <t>2026-09-05 01:20:00</t>
  </si>
  <si>
    <t>S01168</t>
  </si>
  <si>
    <t>F01169</t>
  </si>
  <si>
    <t>2026-09-05 01:25:00</t>
  </si>
  <si>
    <t>S01169</t>
  </si>
  <si>
    <t>F01170</t>
  </si>
  <si>
    <t>2026-09-05 01:30:00</t>
  </si>
  <si>
    <t>S01170</t>
  </si>
  <si>
    <t>F01171</t>
  </si>
  <si>
    <t>2026-09-05 01:35:00</t>
  </si>
  <si>
    <t>S01171</t>
  </si>
  <si>
    <t>F01172</t>
  </si>
  <si>
    <t>2026-09-05 01:40:00</t>
  </si>
  <si>
    <t>S01172</t>
  </si>
  <si>
    <t>F01173</t>
  </si>
  <si>
    <t>2026-09-05 01:45:00</t>
  </si>
  <si>
    <t>S01173</t>
  </si>
  <si>
    <t>F01174</t>
  </si>
  <si>
    <t>2026-09-05 01:50:00</t>
  </si>
  <si>
    <t>S01174</t>
  </si>
  <si>
    <t>F01175</t>
  </si>
  <si>
    <t>2026-09-05 01:55:00</t>
  </si>
  <si>
    <t>S01175</t>
  </si>
  <si>
    <t>F01176</t>
  </si>
  <si>
    <t>2026-09-05 02:00:00</t>
  </si>
  <si>
    <t>S01176</t>
  </si>
  <si>
    <t>F01177</t>
  </si>
  <si>
    <t>2026-09-05 02:05:00</t>
  </si>
  <si>
    <t>S01177</t>
  </si>
  <si>
    <t>F01178</t>
  </si>
  <si>
    <t>2026-09-05 02:10:00</t>
  </si>
  <si>
    <t>S01178</t>
  </si>
  <si>
    <t>F01179</t>
  </si>
  <si>
    <t>2026-09-05 02:15:00</t>
  </si>
  <si>
    <t>S01179</t>
  </si>
  <si>
    <t>F01180</t>
  </si>
  <si>
    <t>2026-09-05 02:20:00</t>
  </si>
  <si>
    <t>S01180</t>
  </si>
  <si>
    <t>F01181</t>
  </si>
  <si>
    <t>2026-09-05 02:25:00</t>
  </si>
  <si>
    <t>S01181</t>
  </si>
  <si>
    <t>F01182</t>
  </si>
  <si>
    <t>2026-09-05 02:30:00</t>
  </si>
  <si>
    <t>S01182</t>
  </si>
  <si>
    <t>F01183</t>
  </si>
  <si>
    <t>2026-09-05 02:35:00</t>
  </si>
  <si>
    <t>S01183</t>
  </si>
  <si>
    <t>F01184</t>
  </si>
  <si>
    <t>2026-09-05 02:40:00</t>
  </si>
  <si>
    <t>S01184</t>
  </si>
  <si>
    <t>F01185</t>
  </si>
  <si>
    <t>2026-09-05 02:45:00</t>
  </si>
  <si>
    <t>S01185</t>
  </si>
  <si>
    <t>F01186</t>
  </si>
  <si>
    <t>2026-09-05 02:50:00</t>
  </si>
  <si>
    <t>S01186</t>
  </si>
  <si>
    <t>F01187</t>
  </si>
  <si>
    <t>2026-09-05 02:55:00</t>
  </si>
  <si>
    <t>S01187</t>
  </si>
  <si>
    <t>F01188</t>
  </si>
  <si>
    <t>2026-09-05 03:00:00</t>
  </si>
  <si>
    <t>S01188</t>
  </si>
  <si>
    <t>F01189</t>
  </si>
  <si>
    <t>2026-09-05 03:05:00</t>
  </si>
  <si>
    <t>S01189</t>
  </si>
  <si>
    <t>F01190</t>
  </si>
  <si>
    <t>2026-09-05 03:10:00</t>
  </si>
  <si>
    <t>S01190</t>
  </si>
  <si>
    <t>F01191</t>
  </si>
  <si>
    <t>2026-09-05 03:15:00</t>
  </si>
  <si>
    <t>S01191</t>
  </si>
  <si>
    <t>F01192</t>
  </si>
  <si>
    <t>2026-09-05 03:20:00</t>
  </si>
  <si>
    <t>S01192</t>
  </si>
  <si>
    <t>F01193</t>
  </si>
  <si>
    <t>2026-09-05 03:25:00</t>
  </si>
  <si>
    <t>S01193</t>
  </si>
  <si>
    <t>F01194</t>
  </si>
  <si>
    <t>2026-09-05 03:30:00</t>
  </si>
  <si>
    <t>S01194</t>
  </si>
  <si>
    <t>F01195</t>
  </si>
  <si>
    <t>2026-09-05 03:35:00</t>
  </si>
  <si>
    <t>S01195</t>
  </si>
  <si>
    <t>F01196</t>
  </si>
  <si>
    <t>2026-09-05 03:40:00</t>
  </si>
  <si>
    <t>S01196</t>
  </si>
  <si>
    <t>F01197</t>
  </si>
  <si>
    <t>2026-09-05 03:45:00</t>
  </si>
  <si>
    <t>S01197</t>
  </si>
  <si>
    <t>F01198</t>
  </si>
  <si>
    <t>2026-09-05 03:50:00</t>
  </si>
  <si>
    <t>S01198</t>
  </si>
  <si>
    <t>F01199</t>
  </si>
  <si>
    <t>2026-09-05 03:55:00</t>
  </si>
  <si>
    <t>S01199</t>
  </si>
  <si>
    <t>Protocol distribution</t>
  </si>
  <si>
    <t>Total flows</t>
  </si>
  <si>
    <t>Unusual flows</t>
  </si>
  <si>
    <t>Unusual rate</t>
  </si>
  <si>
    <t>Avg bytes</t>
  </si>
  <si>
    <t>Share of traffic</t>
  </si>
  <si>
    <t>Hourly traffic</t>
  </si>
  <si>
    <t>Source zone comparison</t>
  </si>
  <si>
    <t>Destination zone comparison</t>
  </si>
  <si>
    <t>Port category analysis</t>
  </si>
  <si>
    <t>Host-group alert summary</t>
  </si>
  <si>
    <t>Maintenance window (1 = inside)</t>
  </si>
  <si>
    <t>Event category distribution</t>
  </si>
  <si>
    <t>Flows</t>
  </si>
  <si>
    <t>Share</t>
  </si>
  <si>
    <t>Unusual rate: source zone (rows) x destination zone (columns)</t>
  </si>
  <si>
    <t>source \ destination</t>
  </si>
  <si>
    <t>Feature comparison: normal vs unusual</t>
  </si>
  <si>
    <t>Feature</t>
  </si>
  <si>
    <t>Mean (normal)</t>
  </si>
  <si>
    <t>Mean (unusual)</t>
  </si>
  <si>
    <t>Median (normal)</t>
  </si>
  <si>
    <t>Median (unusual)</t>
  </si>
  <si>
    <t>StdDev (normal)</t>
  </si>
  <si>
    <t>StdDev (unusual)</t>
  </si>
  <si>
    <t>Ratio of means</t>
  </si>
  <si>
    <t>Medians are shown alongside means because byte counts are heavily skewed by extreme values.</t>
  </si>
  <si>
    <t>Descriptive statistics (all flows)</t>
  </si>
  <si>
    <t>Count</t>
  </si>
  <si>
    <t>Mean</t>
  </si>
  <si>
    <t>Median</t>
  </si>
  <si>
    <t>Std dev</t>
  </si>
  <si>
    <t>Min</t>
  </si>
  <si>
    <t>Q1</t>
  </si>
  <si>
    <t>Q3</t>
  </si>
  <si>
    <t>Max</t>
  </si>
  <si>
    <t>Skewness</t>
  </si>
  <si>
    <t>Correlation with unusual flag</t>
  </si>
  <si>
    <t>CORREL with is_unusual</t>
  </si>
  <si>
    <t>Extreme-byte flows (flagged)</t>
  </si>
  <si>
    <t>Create the real PivotTables here (Data sheet &gt; click any cell &gt; Insert &gt; PivotTable &gt; New Worksheet):</t>
  </si>
  <si>
    <t>Pivot1: Rows = protocol | Columns = label | Values = Count of flow_id  -&gt; PivotChart: Stacked column</t>
  </si>
  <si>
    <t>Pivot2: Rows = hour | Values = Count of flow_id and Average of bytes  -&gt; PivotChart: Line</t>
  </si>
  <si>
    <t>Pivot3: Rows = host_group | Columns = label | Values = Count of flow_id  -&gt; PivotChart: Stacked bar</t>
  </si>
  <si>
    <t>Pivot4: Rows = source_zone | Columns = destination_zone | Values = Count of flow_id  -&gt; Conditional Formatting &gt; Color Scales</t>
  </si>
  <si>
    <t>Pivot5: Rows = port_category | Values = Count of flow_id and Average of bytes_per_packet  -&gt; PivotChart: Column</t>
  </si>
  <si>
    <t>Add Slicers on protocol and maintenance_window. Rename the new sheets Pivot1 ... Pivot5.</t>
  </si>
  <si>
    <t>Tip: in each pivot, set Values to 'Show Values As &gt; % of Row Total' to see event mix per category.</t>
  </si>
  <si>
    <t>NetShield - Network Traffic Summary</t>
  </si>
  <si>
    <t>All figures are live formulas linked to the Data sheet.</t>
  </si>
  <si>
    <t>Overall unusual rate</t>
  </si>
  <si>
    <t>Average bytes (normal)</t>
  </si>
  <si>
    <t>Average bytes (unusual)</t>
  </si>
  <si>
    <t>Median bytes (normal)</t>
  </si>
  <si>
    <t>Median bytes (unusual)</t>
  </si>
  <si>
    <t>Highest unusual rate by dimension</t>
  </si>
  <si>
    <t>Dimension</t>
  </si>
  <si>
    <t>Top category</t>
  </si>
  <si>
    <t>Protocol</t>
  </si>
  <si>
    <t>Hour</t>
  </si>
  <si>
    <t>Source zone</t>
  </si>
  <si>
    <t>Destination zone</t>
  </si>
  <si>
    <t>Port category</t>
  </si>
  <si>
    <t>Host group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</si>
</sst>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#,##0.0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Unusual rate by hour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Unusual rate</c:v>
          </c:tx>
          <c:marker>
            <c:symbol val="none"/>
          </c:marker>
          <c:cat>
            <c:numRef>
              <c:f>Hourly!$A$4:$A$27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%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Unusual flows by host group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Unusual flows</c:v>
          </c:tx>
          <c:cat>
            <c:strRef>
              <c:f>HostGroups!$A$4:$A$7</c:f>
              <c:strCache>
                <c:ptCount val="4"/>
                <c:pt idx="0">
                  <c:v>guest_network</c:v>
                </c:pt>
                <c:pt idx="1">
                  <c:v>lab_devices</c:v>
                </c:pt>
                <c:pt idx="2">
                  <c:v>servers</c:v>
                </c:pt>
                <c:pt idx="3">
                  <c:v>workstations</c:v>
                </c:pt>
              </c:strCache>
            </c:strRef>
          </c:cat>
          <c:val>
            <c:numRef>
              <c:f>HostGroups!$C$4:$C$7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Protocol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Lbls>
            <c:showPercent val="1"/>
          </c:dLbls>
          <c:cat>
            <c:strRef>
              <c:f>Protocol!$A$4:$A$7</c:f>
              <c:strCache>
                <c:ptCount val="4"/>
                <c:pt idx="0">
                  <c:v>ICMP</c:v>
                </c:pt>
                <c:pt idx="1">
                  <c:v>TCP</c:v>
                </c:pt>
                <c:pt idx="2">
                  <c:v>UDP</c:v>
                </c:pt>
                <c:pt idx="3">
                  <c:v>UNKNOWN</c:v>
                </c:pt>
              </c:strCache>
            </c:strRef>
          </c:cat>
          <c:val>
            <c:numRef>
              <c:f>Protocol!$B$4:$B$7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Unusual rate by port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Unusual rate</c:v>
          </c:tx>
          <c:cat>
            <c:strRef>
              <c:f>Ports!$A$4:$A$9</c:f>
              <c:strCache>
                <c:ptCount val="6"/>
                <c:pt idx="0">
                  <c:v>database</c:v>
                </c:pt>
                <c:pt idx="1">
                  <c:v>dns</c:v>
                </c:pt>
                <c:pt idx="2">
                  <c:v>ephemeral</c:v>
                </c:pt>
                <c:pt idx="3">
                  <c:v>other</c:v>
                </c:pt>
                <c:pt idx="4">
                  <c:v>ssh</c:v>
                </c:pt>
                <c:pt idx="5">
                  <c:v>web</c:v>
                </c:pt>
              </c:strCache>
            </c:strRef>
          </c:cat>
          <c:val>
            <c:numRef>
              <c:f>Ports!$D$4:$D$9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0%" sourceLinked="0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Protocol distribution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flows</c:v>
          </c:tx>
          <c:cat>
            <c:strRef>
              <c:f>Protocol!$A$4:$A$7</c:f>
              <c:strCache>
                <c:ptCount val="4"/>
                <c:pt idx="0">
                  <c:v>ICMP</c:v>
                </c:pt>
                <c:pt idx="1">
                  <c:v>TCP</c:v>
                </c:pt>
                <c:pt idx="2">
                  <c:v>UDP</c:v>
                </c:pt>
                <c:pt idx="3">
                  <c:v>UNKNOWN</c:v>
                </c:pt>
              </c:strCache>
            </c:strRef>
          </c:cat>
          <c:val>
            <c:numRef>
              <c:f>Protocol!$B$4:$B$7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v>Unusual flows</c:v>
          </c:tx>
          <c:cat>
            <c:strRef>
              <c:f>Protocol!$A$4:$A$7</c:f>
              <c:strCache>
                <c:ptCount val="4"/>
                <c:pt idx="0">
                  <c:v>ICMP</c:v>
                </c:pt>
                <c:pt idx="1">
                  <c:v>TCP</c:v>
                </c:pt>
                <c:pt idx="2">
                  <c:v>UDP</c:v>
                </c:pt>
                <c:pt idx="3">
                  <c:v>UNKNOWN</c:v>
                </c:pt>
              </c:strCache>
            </c:strRef>
          </c:cat>
          <c:val>
            <c:numRef>
              <c:f>Protocol!$C$4:$C$7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Protocol distribution - unusual rate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Unusual rate</c:v>
          </c:tx>
          <c:cat>
            <c:strRef>
              <c:f>Protocol!$A$4:$A$7</c:f>
              <c:strCache>
                <c:ptCount val="4"/>
                <c:pt idx="0">
                  <c:v>ICMP</c:v>
                </c:pt>
                <c:pt idx="1">
                  <c:v>TCP</c:v>
                </c:pt>
                <c:pt idx="2">
                  <c:v>UDP</c:v>
                </c:pt>
                <c:pt idx="3">
                  <c:v>UNKNOWN</c:v>
                </c:pt>
              </c:strCache>
            </c:strRef>
          </c:cat>
          <c:val>
            <c:numRef>
              <c:f>Protocol!$D$4:$D$7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0%" sourceLinked="0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Hourly traffic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Total flows</c:v>
          </c:tx>
          <c:marker>
            <c:symbol val="none"/>
          </c:marker>
          <c:cat>
            <c:numRef>
              <c:f>Hourly!$A$4:$A$27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ser>
          <c:idx val="1"/>
          <c:order val="1"/>
          <c:tx>
            <c:v>Unusual flows</c:v>
          </c:tx>
          <c:marker>
            <c:symbol val="none"/>
          </c:marker>
          <c:cat>
            <c:numRef>
              <c:f>Hourly!$A$4:$A$27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Hourly!$C$4:$C$27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Hourly traffic - unusual rate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Unusual rate</c:v>
          </c:tx>
          <c:marker>
            <c:symbol val="none"/>
          </c:marker>
          <c:cat>
            <c:numRef>
              <c:f>Hourly!$A$4:$A$27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0%" sourceLinked="0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Source zone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flows</c:v>
          </c:tx>
          <c:cat>
            <c:strRef>
              <c:f>Zones!$A$4:$A$6</c:f>
              <c:strCache>
                <c:ptCount val="3"/>
                <c:pt idx="0">
                  <c:v>dmz</c:v>
                </c:pt>
                <c:pt idx="1">
                  <c:v>external</c:v>
                </c:pt>
                <c:pt idx="2">
                  <c:v>internal</c:v>
                </c:pt>
              </c:strCache>
            </c:strRef>
          </c:cat>
          <c:val>
            <c:numRef>
              <c:f>Zones!$B$4:$B$6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v>Unusual flows</c:v>
          </c:tx>
          <c:cat>
            <c:strRef>
              <c:f>Zones!$A$4:$A$6</c:f>
              <c:strCache>
                <c:ptCount val="3"/>
                <c:pt idx="0">
                  <c:v>dmz</c:v>
                </c:pt>
                <c:pt idx="1">
                  <c:v>external</c:v>
                </c:pt>
                <c:pt idx="2">
                  <c:v>internal</c:v>
                </c:pt>
              </c:strCache>
            </c:strRef>
          </c:cat>
          <c:val>
            <c:numRef>
              <c:f>Zones!$C$4:$C$6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Source zone comparison - unusual rate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Unusual rate</c:v>
          </c:tx>
          <c:cat>
            <c:strRef>
              <c:f>Zones!$A$4:$A$6</c:f>
              <c:strCache>
                <c:ptCount val="3"/>
                <c:pt idx="0">
                  <c:v>dmz</c:v>
                </c:pt>
                <c:pt idx="1">
                  <c:v>external</c:v>
                </c:pt>
                <c:pt idx="2">
                  <c:v>internal</c:v>
                </c:pt>
              </c:strCache>
            </c:strRef>
          </c:cat>
          <c:val>
            <c:numRef>
              <c:f>Zones!$D$4:$D$6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0%" sourceLinked="0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Destination zone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flows</c:v>
          </c:tx>
          <c:cat>
            <c:strRef>
              <c:f>DestZones!$A$4:$A$6</c:f>
              <c:strCache>
                <c:ptCount val="3"/>
                <c:pt idx="0">
                  <c:v>dmz</c:v>
                </c:pt>
                <c:pt idx="1">
                  <c:v>external</c:v>
                </c:pt>
                <c:pt idx="2">
                  <c:v>internal</c:v>
                </c:pt>
              </c:strCache>
            </c:strRef>
          </c:cat>
          <c:val>
            <c:numRef>
              <c:f>DestZones!$B$4:$B$6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v>Unusual flows</c:v>
          </c:tx>
          <c:cat>
            <c:strRef>
              <c:f>DestZones!$A$4:$A$6</c:f>
              <c:strCache>
                <c:ptCount val="3"/>
                <c:pt idx="0">
                  <c:v>dmz</c:v>
                </c:pt>
                <c:pt idx="1">
                  <c:v>external</c:v>
                </c:pt>
                <c:pt idx="2">
                  <c:v>internal</c:v>
                </c:pt>
              </c:strCache>
            </c:strRef>
          </c:cat>
          <c:val>
            <c:numRef>
              <c:f>DestZones!$C$4:$C$6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10001"/>
        <c:axId val="50110002"/>
      </c:bar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Destination zone comparison - unusual rate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Unusual rate</c:v>
          </c:tx>
          <c:cat>
            <c:strRef>
              <c:f>DestZones!$A$4:$A$6</c:f>
              <c:strCache>
                <c:ptCount val="3"/>
                <c:pt idx="0">
                  <c:v>dmz</c:v>
                </c:pt>
                <c:pt idx="1">
                  <c:v>external</c:v>
                </c:pt>
                <c:pt idx="2">
                  <c:v>internal</c:v>
                </c:pt>
              </c:strCache>
            </c:strRef>
          </c:cat>
          <c:val>
            <c:numRef>
              <c:f>DestZones!$D$4:$D$6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0%" sourceLinked="0"/>
        <c:tickLblPos val="nextTo"/>
        <c:crossAx val="501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 category analysis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flows</c:v>
          </c:tx>
          <c:cat>
            <c:strRef>
              <c:f>Ports!$A$4:$A$9</c:f>
              <c:strCache>
                <c:ptCount val="6"/>
                <c:pt idx="0">
                  <c:v>database</c:v>
                </c:pt>
                <c:pt idx="1">
                  <c:v>dns</c:v>
                </c:pt>
                <c:pt idx="2">
                  <c:v>ephemeral</c:v>
                </c:pt>
                <c:pt idx="3">
                  <c:v>other</c:v>
                </c:pt>
                <c:pt idx="4">
                  <c:v>ssh</c:v>
                </c:pt>
                <c:pt idx="5">
                  <c:v>web</c:v>
                </c:pt>
              </c:strCache>
            </c:strRef>
          </c:cat>
          <c:val>
            <c:numRef>
              <c:f>Ports!$B$4:$B$9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Unusual flows</c:v>
          </c:tx>
          <c:cat>
            <c:strRef>
              <c:f>Ports!$A$4:$A$9</c:f>
              <c:strCache>
                <c:ptCount val="6"/>
                <c:pt idx="0">
                  <c:v>database</c:v>
                </c:pt>
                <c:pt idx="1">
                  <c:v>dns</c:v>
                </c:pt>
                <c:pt idx="2">
                  <c:v>ephemeral</c:v>
                </c:pt>
                <c:pt idx="3">
                  <c:v>other</c:v>
                </c:pt>
                <c:pt idx="4">
                  <c:v>ssh</c:v>
                </c:pt>
                <c:pt idx="5">
                  <c:v>web</c:v>
                </c:pt>
              </c:strCache>
            </c:strRef>
          </c:cat>
          <c:val>
            <c:numRef>
              <c:f>Ports!$C$4:$C$9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 category analysis - unusual rate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Unusual rate</c:v>
          </c:tx>
          <c:cat>
            <c:strRef>
              <c:f>Ports!$A$4:$A$9</c:f>
              <c:strCache>
                <c:ptCount val="6"/>
                <c:pt idx="0">
                  <c:v>database</c:v>
                </c:pt>
                <c:pt idx="1">
                  <c:v>dns</c:v>
                </c:pt>
                <c:pt idx="2">
                  <c:v>ephemeral</c:v>
                </c:pt>
                <c:pt idx="3">
                  <c:v>other</c:v>
                </c:pt>
                <c:pt idx="4">
                  <c:v>ssh</c:v>
                </c:pt>
                <c:pt idx="5">
                  <c:v>web</c:v>
                </c:pt>
              </c:strCache>
            </c:strRef>
          </c:cat>
          <c:val>
            <c:numRef>
              <c:f>Ports!$D$4:$D$9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0%" sourceLinked="0"/>
        <c:tickLblPos val="nextTo"/>
        <c:crossAx val="501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Host-group alert summary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Total flows</c:v>
          </c:tx>
          <c:cat>
            <c:strRef>
              <c:f>HostGroups!$A$4:$A$7</c:f>
              <c:strCache>
                <c:ptCount val="4"/>
                <c:pt idx="0">
                  <c:v>guest_network</c:v>
                </c:pt>
                <c:pt idx="1">
                  <c:v>lab_devices</c:v>
                </c:pt>
                <c:pt idx="2">
                  <c:v>servers</c:v>
                </c:pt>
                <c:pt idx="3">
                  <c:v>workstations</c:v>
                </c:pt>
              </c:strCache>
            </c:strRef>
          </c:cat>
          <c:val>
            <c:numRef>
              <c:f>HostGroups!$B$4:$B$7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v>Unusual flows</c:v>
          </c:tx>
          <c:cat>
            <c:strRef>
              <c:f>HostGroups!$A$4:$A$7</c:f>
              <c:strCache>
                <c:ptCount val="4"/>
                <c:pt idx="0">
                  <c:v>guest_network</c:v>
                </c:pt>
                <c:pt idx="1">
                  <c:v>lab_devices</c:v>
                </c:pt>
                <c:pt idx="2">
                  <c:v>servers</c:v>
                </c:pt>
                <c:pt idx="3">
                  <c:v>workstations</c:v>
                </c:pt>
              </c:strCache>
            </c:strRef>
          </c:cat>
          <c:val>
            <c:numRef>
              <c:f>HostGroups!$C$4:$C$7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l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b"/>
        <c:majorGridlines/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Host-group alert summary - unusual rate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Unusual rate</c:v>
          </c:tx>
          <c:cat>
            <c:strRef>
              <c:f>HostGroups!$A$4:$A$7</c:f>
              <c:strCache>
                <c:ptCount val="4"/>
                <c:pt idx="0">
                  <c:v>guest_network</c:v>
                </c:pt>
                <c:pt idx="1">
                  <c:v>lab_devices</c:v>
                </c:pt>
                <c:pt idx="2">
                  <c:v>servers</c:v>
                </c:pt>
                <c:pt idx="3">
                  <c:v>workstations</c:v>
                </c:pt>
              </c:strCache>
            </c:strRef>
          </c:cat>
          <c:val>
            <c:numRef>
              <c:f>HostGroups!$D$4:$D$7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numFmt formatCode="0%" sourceLinked="0"/>
        <c:tickLblPos val="nextTo"/>
        <c:crossAx val="50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Maintenance window (1 = inside)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flows</c:v>
          </c:tx>
          <c:cat>
            <c:numRef>
              <c:f>Maintenance!$A$4:$A$5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Maintenance!$B$4:$B$5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Unusual flows</c:v>
          </c:tx>
          <c:cat>
            <c:numRef>
              <c:f>Maintenance!$A$4:$A$5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Maintenance!$C$4:$C$5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axId val="50170001"/>
        <c:axId val="50170002"/>
      </c:barChart>
      <c:catAx>
        <c:axId val="50170001"/>
        <c:scaling>
          <c:orientation val="minMax"/>
        </c:scaling>
        <c:axPos val="b"/>
        <c:numFmt formatCode="General" sourceLinked="1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/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Maintenance window (1 = inside) - unusual rate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Unusual rate</c:v>
          </c:tx>
          <c:cat>
            <c:numRef>
              <c:f>Maintenance!$A$4:$A$5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Maintenance!$D$4:$D$5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numFmt formatCode="General" sourceLinked="1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numFmt formatCode="0%" sourceLinked="0"/>
        <c:tickLblPos val="nextTo"/>
        <c:crossAx val="501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Traffic by event category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Lbls>
            <c:showPercent val="1"/>
          </c:dLbls>
          <c:cat>
            <c:strRef>
              <c:f>Labels!$A$4:$A$7</c:f>
              <c:strCache>
                <c:ptCount val="4"/>
                <c:pt idx="0">
                  <c:v>burst</c:v>
                </c:pt>
                <c:pt idx="1">
                  <c:v>normal</c:v>
                </c:pt>
                <c:pt idx="2">
                  <c:v>policy_event</c:v>
                </c:pt>
                <c:pt idx="3">
                  <c:v>scan</c:v>
                </c:pt>
              </c:strCache>
            </c:strRef>
          </c:cat>
          <c:val>
            <c:numRef>
              <c:f>Labels!$B$4:$B$7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Median by feature (log scale)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Median normal</c:v>
          </c:tx>
          <c:cat>
            <c:strRef>
              <c:f>Features!$A$4:$A$8</c:f>
              <c:strCache>
                <c:ptCount val="5"/>
                <c:pt idx="0">
                  <c:v>bytes</c:v>
                </c:pt>
                <c:pt idx="1">
                  <c:v>packets</c:v>
                </c:pt>
                <c:pt idx="2">
                  <c:v>duration</c:v>
                </c:pt>
                <c:pt idx="3">
                  <c:v>bytes_per_packet</c:v>
                </c:pt>
                <c:pt idx="4">
                  <c:v>bytes_per_second</c:v>
                </c:pt>
              </c:strCache>
            </c:strRef>
          </c:cat>
          <c:val>
            <c:numRef>
              <c:f>Features!$D$4:$D$8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Median unusual</c:v>
          </c:tx>
          <c:cat>
            <c:strRef>
              <c:f>Features!$A$4:$A$8</c:f>
              <c:strCache>
                <c:ptCount val="5"/>
                <c:pt idx="0">
                  <c:v>bytes</c:v>
                </c:pt>
                <c:pt idx="1">
                  <c:v>packets</c:v>
                </c:pt>
                <c:pt idx="2">
                  <c:v>duration</c:v>
                </c:pt>
                <c:pt idx="3">
                  <c:v>bytes_per_packet</c:v>
                </c:pt>
                <c:pt idx="4">
                  <c:v>bytes_per_second</c:v>
                </c:pt>
              </c:strCache>
            </c:strRef>
          </c:cat>
          <c:val>
            <c:numRef>
              <c:f>Features!$E$4:$E$8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200001"/>
        <c:axId val="50200002"/>
      </c:barChart>
      <c:catAx>
        <c:axId val="50200001"/>
        <c:scaling>
          <c:orientation val="minMax"/>
        </c:scaling>
        <c:axPos val="b"/>
        <c:tickLblPos val="nextTo"/>
        <c:crossAx val="50200002"/>
        <c:crosses val="autoZero"/>
        <c:auto val="1"/>
        <c:lblAlgn val="ctr"/>
        <c:lblOffset val="100"/>
      </c:catAx>
      <c:valAx>
        <c:axId val="50200002"/>
        <c:scaling>
          <c:logBase val="10"/>
          <c:orientation val="minMax"/>
        </c:scaling>
        <c:axPos val="l"/>
        <c:majorGridlines/>
        <c:numFmt formatCode="General" sourceLinked="1"/>
        <c:tickLblPos val="nextTo"/>
        <c:crossAx val="502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2</xdr:col>
      <xdr:colOff>857250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13</xdr:col>
      <xdr:colOff>76200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2</xdr:col>
      <xdr:colOff>857250</xdr:colOff>
      <xdr:row>51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36</xdr:row>
      <xdr:rowOff>0</xdr:rowOff>
    </xdr:from>
    <xdr:to>
      <xdr:col>13</xdr:col>
      <xdr:colOff>76200</xdr:colOff>
      <xdr:row>51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16</xdr:col>
      <xdr:colOff>419100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16</xdr:col>
      <xdr:colOff>419100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16</xdr:col>
      <xdr:colOff>419100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16</xdr:col>
      <xdr:colOff>419100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16</xdr:col>
      <xdr:colOff>419100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16</xdr:col>
      <xdr:colOff>419100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16</xdr:col>
      <xdr:colOff>419100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16</xdr:col>
      <xdr:colOff>419100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16</xdr:col>
      <xdr:colOff>419100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16</xdr:col>
      <xdr:colOff>419100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16</xdr:col>
      <xdr:colOff>419100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16</xdr:col>
      <xdr:colOff>419100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16</xdr:col>
      <xdr:colOff>419100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16</xdr:col>
      <xdr:colOff>419100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11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5</xdr:col>
      <xdr:colOff>428625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3693</v>
      </c>
    </row>
    <row r="2" spans="1:3">
      <c r="A2" s="2" t="s">
        <v>3694</v>
      </c>
    </row>
    <row r="4" spans="1:3">
      <c r="A4" s="3" t="s">
        <v>3646</v>
      </c>
      <c r="B4">
        <f>COUNTA(Data!$A$2:$A$1201)</f>
        <v>0</v>
      </c>
    </row>
    <row r="5" spans="1:3">
      <c r="A5" s="3" t="s">
        <v>3647</v>
      </c>
      <c r="B5">
        <f>SUM(Data!$X$2:$X$1201)</f>
        <v>0</v>
      </c>
    </row>
    <row r="6" spans="1:3">
      <c r="A6" s="3" t="s">
        <v>3695</v>
      </c>
      <c r="B6" s="4">
        <f>B5/B4</f>
        <v>0</v>
      </c>
    </row>
    <row r="7" spans="1:3">
      <c r="A7" s="3" t="s">
        <v>3696</v>
      </c>
      <c r="B7" s="5">
        <f>AVERAGEIFS(Data!$E$2:$E$1201,Data!$X$2:$X$1201,0)</f>
        <v>0</v>
      </c>
    </row>
    <row r="8" spans="1:3">
      <c r="A8" s="3" t="s">
        <v>3697</v>
      </c>
      <c r="B8" s="5">
        <f>AVERAGEIFS(Data!$E$2:$E$1201,Data!$X$2:$X$1201,1)</f>
        <v>0</v>
      </c>
    </row>
    <row r="9" spans="1:3">
      <c r="A9" s="3" t="s">
        <v>3698</v>
      </c>
      <c r="B9" s="5">
        <f t="array" ref="B9">MEDIAN(IF(Data!$X$2:$X$1201=0,Data!$E$2:$E$1201))</f>
        <v>0</v>
      </c>
    </row>
    <row r="10" spans="1:3">
      <c r="A10" s="3" t="s">
        <v>3699</v>
      </c>
      <c r="B10" s="5">
        <f t="array" ref="B10">MEDIAN(IF(Data!$X$2:$X$1201=1,Data!$E$2:$E$1201))</f>
        <v>0</v>
      </c>
    </row>
    <row r="12" spans="1:3">
      <c r="A12" s="1" t="s">
        <v>3700</v>
      </c>
    </row>
    <row r="13" spans="1:3">
      <c r="A13" s="3" t="s">
        <v>3701</v>
      </c>
      <c r="B13" s="3" t="s">
        <v>3702</v>
      </c>
      <c r="C13" s="3" t="s">
        <v>3648</v>
      </c>
    </row>
    <row r="14" spans="1:3">
      <c r="A14" s="3" t="s">
        <v>3703</v>
      </c>
      <c r="B14">
        <f>INDEX(Protocol!$A$4:$A$7,MATCH(MAX(Protocol!$D$4:$D$7),Protocol!$D$4:$D$7,0))</f>
        <v>0</v>
      </c>
      <c r="C14" s="4">
        <f>MAX(Protocol!$D$4:$D$7)</f>
        <v>0</v>
      </c>
    </row>
    <row r="15" spans="1:3">
      <c r="A15" s="3" t="s">
        <v>3704</v>
      </c>
      <c r="B15">
        <f>INDEX(Hourly!$A$4:$A$27,MATCH(MAX(Hourly!$D$4:$D$27),Hourly!$D$4:$D$27,0))</f>
        <v>0</v>
      </c>
      <c r="C15" s="4">
        <f>MAX(Hourly!$D$4:$D$27)</f>
        <v>0</v>
      </c>
    </row>
    <row r="16" spans="1:3">
      <c r="A16" s="3" t="s">
        <v>3705</v>
      </c>
      <c r="B16">
        <f>INDEX(Zones!$A$4:$A$6,MATCH(MAX(Zones!$D$4:$D$6),Zones!$D$4:$D$6,0))</f>
        <v>0</v>
      </c>
      <c r="C16" s="4">
        <f>MAX(Zones!$D$4:$D$6)</f>
        <v>0</v>
      </c>
    </row>
    <row r="17" spans="1:3">
      <c r="A17" s="3" t="s">
        <v>3706</v>
      </c>
      <c r="B17">
        <f>INDEX(DestZones!$A$4:$A$6,MATCH(MAX(DestZones!$D$4:$D$6),DestZones!$D$4:$D$6,0))</f>
        <v>0</v>
      </c>
      <c r="C17" s="4">
        <f>MAX(DestZones!$D$4:$D$6)</f>
        <v>0</v>
      </c>
    </row>
    <row r="18" spans="1:3">
      <c r="A18" s="3" t="s">
        <v>3707</v>
      </c>
      <c r="B18">
        <f>INDEX(Ports!$A$4:$A$9,MATCH(MAX(Ports!$D$4:$D$9),Ports!$D$4:$D$9,0))</f>
        <v>0</v>
      </c>
      <c r="C18" s="4">
        <f>MAX(Ports!$D$4:$D$9)</f>
        <v>0</v>
      </c>
    </row>
    <row r="19" spans="1:3">
      <c r="A19" s="3" t="s">
        <v>3708</v>
      </c>
      <c r="B19">
        <f>INDEX(HostGroups!$A$4:$A$7,MATCH(MAX(HostGroups!$D$4:$D$7),HostGroups!$D$4:$D$7,0))</f>
        <v>0</v>
      </c>
      <c r="C19" s="4">
        <f>MAX(HostGroups!$D$4:$D$7)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4" width="16.7109375" customWidth="1"/>
  </cols>
  <sheetData>
    <row r="1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>
      <c r="A2" t="s">
        <v>24</v>
      </c>
      <c r="B2" t="s">
        <v>25</v>
      </c>
      <c r="C2" t="s">
        <v>26</v>
      </c>
      <c r="D2">
        <v>1.1</v>
      </c>
      <c r="E2">
        <v>2587</v>
      </c>
      <c r="F2">
        <v>18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30</v>
      </c>
      <c r="M2" t="s">
        <v>32</v>
      </c>
      <c r="N2">
        <v>0</v>
      </c>
      <c r="O2">
        <v>1</v>
      </c>
      <c r="P2">
        <v>0</v>
      </c>
      <c r="Q2">
        <v>2351.818181818181</v>
      </c>
      <c r="R2">
        <v>16.36363636363636</v>
      </c>
      <c r="S2">
        <v>143.7222222222222</v>
      </c>
      <c r="T2">
        <v>0</v>
      </c>
      <c r="U2">
        <v>1</v>
      </c>
      <c r="V2">
        <v>0</v>
      </c>
      <c r="W2">
        <v>7.858640655620791</v>
      </c>
      <c r="X2">
        <v>0</v>
      </c>
    </row>
    <row r="3" spans="1:24">
      <c r="A3" t="s">
        <v>33</v>
      </c>
      <c r="B3" t="s">
        <v>34</v>
      </c>
      <c r="C3" t="s">
        <v>35</v>
      </c>
      <c r="D3">
        <v>0.725</v>
      </c>
      <c r="E3">
        <v>1927</v>
      </c>
      <c r="F3">
        <v>16</v>
      </c>
      <c r="G3" t="s">
        <v>36</v>
      </c>
      <c r="H3" t="s">
        <v>37</v>
      </c>
      <c r="I3" t="s">
        <v>29</v>
      </c>
      <c r="J3" t="s">
        <v>38</v>
      </c>
      <c r="K3" t="s">
        <v>31</v>
      </c>
      <c r="L3" t="s">
        <v>30</v>
      </c>
      <c r="M3" t="s">
        <v>39</v>
      </c>
      <c r="N3">
        <v>0</v>
      </c>
      <c r="O3">
        <v>1</v>
      </c>
      <c r="P3">
        <v>0</v>
      </c>
      <c r="Q3">
        <v>2657.931034482759</v>
      </c>
      <c r="R3">
        <v>22.06896551724138</v>
      </c>
      <c r="S3">
        <v>120.4375</v>
      </c>
      <c r="T3">
        <v>0</v>
      </c>
      <c r="U3">
        <v>1</v>
      </c>
      <c r="V3">
        <v>0</v>
      </c>
      <c r="W3">
        <v>7.564238475170491</v>
      </c>
      <c r="X3">
        <v>0</v>
      </c>
    </row>
    <row r="4" spans="1:24">
      <c r="A4" t="s">
        <v>40</v>
      </c>
      <c r="B4" t="s">
        <v>41</v>
      </c>
      <c r="C4" t="s">
        <v>35</v>
      </c>
      <c r="D4">
        <v>4.916</v>
      </c>
      <c r="E4">
        <v>950</v>
      </c>
      <c r="F4">
        <v>20</v>
      </c>
      <c r="G4" t="s">
        <v>36</v>
      </c>
      <c r="H4" t="s">
        <v>42</v>
      </c>
      <c r="I4" t="s">
        <v>43</v>
      </c>
      <c r="J4" t="s">
        <v>38</v>
      </c>
      <c r="K4" t="s">
        <v>31</v>
      </c>
      <c r="L4" t="s">
        <v>31</v>
      </c>
      <c r="M4" t="s">
        <v>44</v>
      </c>
      <c r="N4">
        <v>0</v>
      </c>
      <c r="O4">
        <v>1</v>
      </c>
      <c r="P4">
        <v>0</v>
      </c>
      <c r="Q4">
        <v>193.246541903987</v>
      </c>
      <c r="R4">
        <v>4.068348250610252</v>
      </c>
      <c r="S4">
        <v>47.5</v>
      </c>
      <c r="T4">
        <v>0</v>
      </c>
      <c r="U4">
        <v>1</v>
      </c>
      <c r="V4">
        <v>0</v>
      </c>
      <c r="W4">
        <v>6.85751406254539</v>
      </c>
      <c r="X4">
        <v>1</v>
      </c>
    </row>
    <row r="5" spans="1:24">
      <c r="A5" t="s">
        <v>45</v>
      </c>
      <c r="B5" t="s">
        <v>46</v>
      </c>
      <c r="C5" t="s">
        <v>35</v>
      </c>
      <c r="D5">
        <v>1.54</v>
      </c>
      <c r="E5">
        <v>5195</v>
      </c>
      <c r="F5">
        <v>43</v>
      </c>
      <c r="G5" t="s">
        <v>47</v>
      </c>
      <c r="H5" t="s">
        <v>48</v>
      </c>
      <c r="I5" t="s">
        <v>49</v>
      </c>
      <c r="J5" t="s">
        <v>31</v>
      </c>
      <c r="K5" t="s">
        <v>31</v>
      </c>
      <c r="L5" t="s">
        <v>38</v>
      </c>
      <c r="M5" t="s">
        <v>44</v>
      </c>
      <c r="N5">
        <v>0</v>
      </c>
      <c r="O5">
        <v>1</v>
      </c>
      <c r="P5">
        <v>0</v>
      </c>
      <c r="Q5">
        <v>3373.376623376623</v>
      </c>
      <c r="R5">
        <v>27.92207792207792</v>
      </c>
      <c r="S5">
        <v>120.8139534883721</v>
      </c>
      <c r="T5">
        <v>0</v>
      </c>
      <c r="U5">
        <v>1</v>
      </c>
      <c r="V5">
        <v>0</v>
      </c>
      <c r="W5">
        <v>8.55564437779049</v>
      </c>
      <c r="X5">
        <v>1</v>
      </c>
    </row>
    <row r="6" spans="1:24">
      <c r="A6" t="s">
        <v>50</v>
      </c>
      <c r="B6" t="s">
        <v>51</v>
      </c>
      <c r="C6" t="s">
        <v>52</v>
      </c>
      <c r="D6">
        <v>4.388</v>
      </c>
      <c r="E6">
        <v>1020</v>
      </c>
      <c r="F6">
        <v>18</v>
      </c>
      <c r="G6" t="s">
        <v>27</v>
      </c>
      <c r="H6" t="s">
        <v>53</v>
      </c>
      <c r="I6" t="s">
        <v>29</v>
      </c>
      <c r="J6" t="s">
        <v>30</v>
      </c>
      <c r="K6" t="s">
        <v>30</v>
      </c>
      <c r="L6" t="s">
        <v>30</v>
      </c>
      <c r="M6" t="s">
        <v>39</v>
      </c>
      <c r="N6">
        <v>0</v>
      </c>
      <c r="O6">
        <v>1</v>
      </c>
      <c r="P6">
        <v>0</v>
      </c>
      <c r="Q6">
        <v>232.4521422060164</v>
      </c>
      <c r="R6">
        <v>4.102096627164996</v>
      </c>
      <c r="S6">
        <v>56.66666666666666</v>
      </c>
      <c r="T6">
        <v>0</v>
      </c>
      <c r="U6">
        <v>1</v>
      </c>
      <c r="V6">
        <v>0</v>
      </c>
      <c r="W6">
        <v>6.928537818164665</v>
      </c>
      <c r="X6">
        <v>0</v>
      </c>
    </row>
    <row r="7" spans="1:24">
      <c r="A7" t="s">
        <v>54</v>
      </c>
      <c r="B7" t="s">
        <v>55</v>
      </c>
      <c r="C7" t="s">
        <v>26</v>
      </c>
      <c r="D7">
        <v>4.857</v>
      </c>
      <c r="E7">
        <v>2526</v>
      </c>
      <c r="F7">
        <v>12</v>
      </c>
      <c r="G7" t="s">
        <v>27</v>
      </c>
      <c r="H7" t="s">
        <v>56</v>
      </c>
      <c r="I7" t="s">
        <v>29</v>
      </c>
      <c r="J7" t="s">
        <v>30</v>
      </c>
      <c r="K7" t="s">
        <v>30</v>
      </c>
      <c r="L7" t="s">
        <v>30</v>
      </c>
      <c r="M7" t="s">
        <v>39</v>
      </c>
      <c r="N7">
        <v>0</v>
      </c>
      <c r="O7">
        <v>1</v>
      </c>
      <c r="P7">
        <v>0</v>
      </c>
      <c r="Q7">
        <v>520.0741198270537</v>
      </c>
      <c r="R7">
        <v>2.470660901791229</v>
      </c>
      <c r="S7">
        <v>210.5</v>
      </c>
      <c r="T7">
        <v>0</v>
      </c>
      <c r="U7">
        <v>1</v>
      </c>
      <c r="V7">
        <v>0</v>
      </c>
      <c r="W7">
        <v>7.834788107388194</v>
      </c>
      <c r="X7">
        <v>0</v>
      </c>
    </row>
    <row r="8" spans="1:24">
      <c r="A8" t="s">
        <v>57</v>
      </c>
      <c r="B8" t="s">
        <v>58</v>
      </c>
      <c r="C8" t="s">
        <v>35</v>
      </c>
      <c r="D8">
        <v>1.696</v>
      </c>
      <c r="E8">
        <v>4985</v>
      </c>
      <c r="F8">
        <v>17</v>
      </c>
      <c r="G8" t="s">
        <v>27</v>
      </c>
      <c r="H8" t="s">
        <v>59</v>
      </c>
      <c r="I8" t="s">
        <v>29</v>
      </c>
      <c r="J8" t="s">
        <v>30</v>
      </c>
      <c r="K8" t="s">
        <v>30</v>
      </c>
      <c r="L8" t="s">
        <v>30</v>
      </c>
      <c r="M8" t="s">
        <v>44</v>
      </c>
      <c r="N8">
        <v>0</v>
      </c>
      <c r="O8">
        <v>1</v>
      </c>
      <c r="P8">
        <v>0</v>
      </c>
      <c r="Q8">
        <v>2939.268867924528</v>
      </c>
      <c r="R8">
        <v>10.02358490566038</v>
      </c>
      <c r="S8">
        <v>293.2352941176471</v>
      </c>
      <c r="T8">
        <v>0</v>
      </c>
      <c r="U8">
        <v>1</v>
      </c>
      <c r="V8">
        <v>0</v>
      </c>
      <c r="W8">
        <v>8.514389264083503</v>
      </c>
      <c r="X8">
        <v>0</v>
      </c>
    </row>
    <row r="9" spans="1:24">
      <c r="A9" t="s">
        <v>60</v>
      </c>
      <c r="B9" t="s">
        <v>61</v>
      </c>
      <c r="C9" t="s">
        <v>35</v>
      </c>
      <c r="D9">
        <v>6.403</v>
      </c>
      <c r="E9">
        <v>1067</v>
      </c>
      <c r="F9">
        <v>12</v>
      </c>
      <c r="G9" t="s">
        <v>62</v>
      </c>
      <c r="H9" t="s">
        <v>63</v>
      </c>
      <c r="I9" t="s">
        <v>29</v>
      </c>
      <c r="J9" t="s">
        <v>30</v>
      </c>
      <c r="K9" t="s">
        <v>30</v>
      </c>
      <c r="L9" t="s">
        <v>31</v>
      </c>
      <c r="M9" t="s">
        <v>39</v>
      </c>
      <c r="N9">
        <v>0</v>
      </c>
      <c r="O9">
        <v>1</v>
      </c>
      <c r="P9">
        <v>0</v>
      </c>
      <c r="Q9">
        <v>166.6406372013119</v>
      </c>
      <c r="R9">
        <v>1.874121505544276</v>
      </c>
      <c r="S9">
        <v>88.91666666666667</v>
      </c>
      <c r="T9">
        <v>0</v>
      </c>
      <c r="U9">
        <v>1</v>
      </c>
      <c r="V9">
        <v>0</v>
      </c>
      <c r="W9">
        <v>6.97354301952014</v>
      </c>
      <c r="X9">
        <v>0</v>
      </c>
    </row>
    <row r="10" spans="1:24">
      <c r="A10" t="s">
        <v>64</v>
      </c>
      <c r="B10" t="s">
        <v>65</v>
      </c>
      <c r="C10" t="s">
        <v>35</v>
      </c>
      <c r="D10">
        <v>7.233</v>
      </c>
      <c r="E10">
        <v>10224</v>
      </c>
      <c r="F10">
        <v>22</v>
      </c>
      <c r="G10" t="s">
        <v>62</v>
      </c>
      <c r="H10" t="s">
        <v>66</v>
      </c>
      <c r="I10" t="s">
        <v>29</v>
      </c>
      <c r="J10" t="s">
        <v>30</v>
      </c>
      <c r="K10" t="s">
        <v>30</v>
      </c>
      <c r="L10" t="s">
        <v>30</v>
      </c>
      <c r="M10" t="s">
        <v>44</v>
      </c>
      <c r="N10">
        <v>0</v>
      </c>
      <c r="O10">
        <v>1</v>
      </c>
      <c r="P10">
        <v>0</v>
      </c>
      <c r="Q10">
        <v>1413.521360431356</v>
      </c>
      <c r="R10">
        <v>3.041614820959492</v>
      </c>
      <c r="S10">
        <v>464.7272727272728</v>
      </c>
      <c r="T10">
        <v>0</v>
      </c>
      <c r="U10">
        <v>1</v>
      </c>
      <c r="V10">
        <v>1</v>
      </c>
      <c r="W10">
        <v>9.232590980911002</v>
      </c>
      <c r="X10">
        <v>0</v>
      </c>
    </row>
    <row r="11" spans="1:24">
      <c r="A11" t="s">
        <v>67</v>
      </c>
      <c r="B11" t="s">
        <v>68</v>
      </c>
      <c r="C11" t="s">
        <v>52</v>
      </c>
      <c r="D11">
        <v>3.284</v>
      </c>
      <c r="E11">
        <v>495</v>
      </c>
      <c r="F11">
        <v>18</v>
      </c>
      <c r="G11" t="s">
        <v>62</v>
      </c>
      <c r="H11" t="s">
        <v>69</v>
      </c>
      <c r="I11" t="s">
        <v>29</v>
      </c>
      <c r="J11" t="s">
        <v>30</v>
      </c>
      <c r="K11" t="s">
        <v>31</v>
      </c>
      <c r="L11" t="s">
        <v>30</v>
      </c>
      <c r="M11" t="s">
        <v>44</v>
      </c>
      <c r="N11">
        <v>0</v>
      </c>
      <c r="O11">
        <v>1</v>
      </c>
      <c r="P11">
        <v>0</v>
      </c>
      <c r="Q11">
        <v>150.7308160779537</v>
      </c>
      <c r="R11">
        <v>5.481120584652863</v>
      </c>
      <c r="S11">
        <v>27.5</v>
      </c>
      <c r="T11">
        <v>0</v>
      </c>
      <c r="U11">
        <v>1</v>
      </c>
      <c r="V11">
        <v>0</v>
      </c>
      <c r="W11">
        <v>6.206575926724928</v>
      </c>
      <c r="X11">
        <v>0</v>
      </c>
    </row>
    <row r="12" spans="1:24">
      <c r="A12" t="s">
        <v>70</v>
      </c>
      <c r="B12" t="s">
        <v>71</v>
      </c>
      <c r="C12" t="s">
        <v>35</v>
      </c>
      <c r="D12">
        <v>5.143</v>
      </c>
      <c r="E12">
        <v>2014</v>
      </c>
      <c r="F12">
        <v>17</v>
      </c>
      <c r="G12" t="s">
        <v>27</v>
      </c>
      <c r="H12" t="s">
        <v>72</v>
      </c>
      <c r="I12" t="s">
        <v>29</v>
      </c>
      <c r="J12" t="s">
        <v>30</v>
      </c>
      <c r="K12" t="s">
        <v>30</v>
      </c>
      <c r="L12" t="s">
        <v>30</v>
      </c>
      <c r="M12" t="s">
        <v>39</v>
      </c>
      <c r="N12">
        <v>0</v>
      </c>
      <c r="O12">
        <v>1</v>
      </c>
      <c r="P12">
        <v>0</v>
      </c>
      <c r="Q12">
        <v>391.6002333268521</v>
      </c>
      <c r="R12">
        <v>3.305463737118413</v>
      </c>
      <c r="S12">
        <v>118.4705882352941</v>
      </c>
      <c r="T12">
        <v>0</v>
      </c>
      <c r="U12">
        <v>1</v>
      </c>
      <c r="V12">
        <v>0</v>
      </c>
      <c r="W12">
        <v>7.608374474380783</v>
      </c>
      <c r="X12">
        <v>0</v>
      </c>
    </row>
    <row r="13" spans="1:24">
      <c r="A13" t="s">
        <v>73</v>
      </c>
      <c r="B13" t="s">
        <v>74</v>
      </c>
      <c r="C13" t="s">
        <v>35</v>
      </c>
      <c r="D13">
        <v>2.372</v>
      </c>
      <c r="E13">
        <v>1467</v>
      </c>
      <c r="F13">
        <v>16</v>
      </c>
      <c r="G13" t="s">
        <v>47</v>
      </c>
      <c r="H13" t="s">
        <v>75</v>
      </c>
      <c r="I13" t="s">
        <v>29</v>
      </c>
      <c r="J13" t="s">
        <v>31</v>
      </c>
      <c r="K13" t="s">
        <v>30</v>
      </c>
      <c r="L13" t="s">
        <v>30</v>
      </c>
      <c r="M13" t="s">
        <v>76</v>
      </c>
      <c r="N13">
        <v>0</v>
      </c>
      <c r="O13">
        <v>1</v>
      </c>
      <c r="P13">
        <v>0</v>
      </c>
      <c r="Q13">
        <v>618.4654300168635</v>
      </c>
      <c r="R13">
        <v>6.745362563237775</v>
      </c>
      <c r="S13">
        <v>91.6875</v>
      </c>
      <c r="T13">
        <v>0</v>
      </c>
      <c r="U13">
        <v>1</v>
      </c>
      <c r="V13">
        <v>0</v>
      </c>
      <c r="W13">
        <v>7.291656209174461</v>
      </c>
      <c r="X13">
        <v>0</v>
      </c>
    </row>
    <row r="14" spans="1:24">
      <c r="A14" t="s">
        <v>77</v>
      </c>
      <c r="B14" t="s">
        <v>78</v>
      </c>
      <c r="C14" t="s">
        <v>26</v>
      </c>
      <c r="D14">
        <v>1.842</v>
      </c>
      <c r="E14">
        <v>13256</v>
      </c>
      <c r="F14">
        <v>24</v>
      </c>
      <c r="G14" t="s">
        <v>36</v>
      </c>
      <c r="H14" t="s">
        <v>79</v>
      </c>
      <c r="I14" t="s">
        <v>29</v>
      </c>
      <c r="J14" t="s">
        <v>38</v>
      </c>
      <c r="K14" t="s">
        <v>30</v>
      </c>
      <c r="L14" t="s">
        <v>31</v>
      </c>
      <c r="M14" t="s">
        <v>32</v>
      </c>
      <c r="N14">
        <v>1</v>
      </c>
      <c r="O14">
        <v>1</v>
      </c>
      <c r="P14">
        <v>0</v>
      </c>
      <c r="Q14">
        <v>7196.525515743757</v>
      </c>
      <c r="R14">
        <v>13.02931596091205</v>
      </c>
      <c r="S14">
        <v>552.3333333333334</v>
      </c>
      <c r="T14">
        <v>0</v>
      </c>
      <c r="U14">
        <v>1</v>
      </c>
      <c r="V14">
        <v>1</v>
      </c>
      <c r="W14">
        <v>9.49228099379885</v>
      </c>
      <c r="X14">
        <v>0</v>
      </c>
    </row>
    <row r="15" spans="1:24">
      <c r="A15" t="s">
        <v>80</v>
      </c>
      <c r="B15" t="s">
        <v>81</v>
      </c>
      <c r="C15" t="s">
        <v>52</v>
      </c>
      <c r="D15">
        <v>4.658</v>
      </c>
      <c r="E15">
        <v>1530</v>
      </c>
      <c r="F15">
        <v>24</v>
      </c>
      <c r="G15" t="s">
        <v>36</v>
      </c>
      <c r="H15" t="s">
        <v>82</v>
      </c>
      <c r="I15" t="s">
        <v>29</v>
      </c>
      <c r="J15" t="s">
        <v>38</v>
      </c>
      <c r="K15" t="s">
        <v>30</v>
      </c>
      <c r="L15" t="s">
        <v>31</v>
      </c>
      <c r="M15" t="s">
        <v>83</v>
      </c>
      <c r="N15">
        <v>1</v>
      </c>
      <c r="O15">
        <v>1</v>
      </c>
      <c r="P15">
        <v>0</v>
      </c>
      <c r="Q15">
        <v>328.4671532846715</v>
      </c>
      <c r="R15">
        <v>5.1524259338772</v>
      </c>
      <c r="S15">
        <v>63.75</v>
      </c>
      <c r="T15">
        <v>0</v>
      </c>
      <c r="U15">
        <v>1</v>
      </c>
      <c r="V15">
        <v>0</v>
      </c>
      <c r="W15">
        <v>7.333676395657684</v>
      </c>
      <c r="X15">
        <v>0</v>
      </c>
    </row>
    <row r="16" spans="1:24">
      <c r="A16" t="s">
        <v>84</v>
      </c>
      <c r="B16" t="s">
        <v>85</v>
      </c>
      <c r="C16" t="s">
        <v>35</v>
      </c>
      <c r="D16">
        <v>1.694</v>
      </c>
      <c r="E16">
        <v>582</v>
      </c>
      <c r="F16">
        <v>22</v>
      </c>
      <c r="G16" t="s">
        <v>62</v>
      </c>
      <c r="H16" t="s">
        <v>86</v>
      </c>
      <c r="I16" t="s">
        <v>29</v>
      </c>
      <c r="J16" t="s">
        <v>30</v>
      </c>
      <c r="K16" t="s">
        <v>30</v>
      </c>
      <c r="L16" t="s">
        <v>30</v>
      </c>
      <c r="M16" t="s">
        <v>32</v>
      </c>
      <c r="N16">
        <v>1</v>
      </c>
      <c r="O16">
        <v>1</v>
      </c>
      <c r="P16">
        <v>0</v>
      </c>
      <c r="Q16">
        <v>343.5655253837072</v>
      </c>
      <c r="R16">
        <v>12.98701298701299</v>
      </c>
      <c r="S16">
        <v>26.45454545454545</v>
      </c>
      <c r="T16">
        <v>0</v>
      </c>
      <c r="U16">
        <v>1</v>
      </c>
      <c r="V16">
        <v>0</v>
      </c>
      <c r="W16">
        <v>6.368187186350492</v>
      </c>
      <c r="X16">
        <v>0</v>
      </c>
    </row>
    <row r="17" spans="1:24">
      <c r="A17" t="s">
        <v>87</v>
      </c>
      <c r="B17" t="s">
        <v>88</v>
      </c>
      <c r="C17" t="s">
        <v>35</v>
      </c>
      <c r="D17">
        <v>0.114</v>
      </c>
      <c r="E17">
        <v>1439</v>
      </c>
      <c r="F17">
        <v>3</v>
      </c>
      <c r="G17" t="s">
        <v>36</v>
      </c>
      <c r="H17" t="s">
        <v>89</v>
      </c>
      <c r="I17" t="s">
        <v>90</v>
      </c>
      <c r="J17" t="s">
        <v>38</v>
      </c>
      <c r="K17" t="s">
        <v>30</v>
      </c>
      <c r="L17" t="s">
        <v>30</v>
      </c>
      <c r="M17" t="s">
        <v>44</v>
      </c>
      <c r="N17">
        <v>1</v>
      </c>
      <c r="O17">
        <v>1</v>
      </c>
      <c r="P17">
        <v>0</v>
      </c>
      <c r="Q17">
        <v>12622.80701754386</v>
      </c>
      <c r="R17">
        <v>26.31578947368421</v>
      </c>
      <c r="S17">
        <v>479.6666666666667</v>
      </c>
      <c r="T17">
        <v>0</v>
      </c>
      <c r="U17">
        <v>1</v>
      </c>
      <c r="V17">
        <v>0</v>
      </c>
      <c r="W17">
        <v>7.272398392570047</v>
      </c>
      <c r="X17">
        <v>1</v>
      </c>
    </row>
    <row r="18" spans="1:24">
      <c r="A18" t="s">
        <v>91</v>
      </c>
      <c r="B18" t="s">
        <v>92</v>
      </c>
      <c r="C18" t="s">
        <v>26</v>
      </c>
      <c r="D18">
        <v>0.627</v>
      </c>
      <c r="E18">
        <v>10328</v>
      </c>
      <c r="F18">
        <v>10</v>
      </c>
      <c r="G18" t="s">
        <v>27</v>
      </c>
      <c r="H18" t="s">
        <v>93</v>
      </c>
      <c r="I18" t="s">
        <v>29</v>
      </c>
      <c r="J18" t="s">
        <v>30</v>
      </c>
      <c r="K18" t="s">
        <v>30</v>
      </c>
      <c r="L18" t="s">
        <v>31</v>
      </c>
      <c r="M18" t="s">
        <v>44</v>
      </c>
      <c r="N18">
        <v>1</v>
      </c>
      <c r="O18">
        <v>1</v>
      </c>
      <c r="P18">
        <v>0</v>
      </c>
      <c r="Q18">
        <v>16472.08931419458</v>
      </c>
      <c r="R18">
        <v>15.94896331738437</v>
      </c>
      <c r="S18">
        <v>1032.8</v>
      </c>
      <c r="T18">
        <v>0</v>
      </c>
      <c r="U18">
        <v>1</v>
      </c>
      <c r="V18">
        <v>1</v>
      </c>
      <c r="W18">
        <v>9.242710752006634</v>
      </c>
      <c r="X18">
        <v>0</v>
      </c>
    </row>
    <row r="19" spans="1:24">
      <c r="A19" t="s">
        <v>94</v>
      </c>
      <c r="B19" t="s">
        <v>95</v>
      </c>
      <c r="C19" t="s">
        <v>35</v>
      </c>
      <c r="D19">
        <v>0.035</v>
      </c>
      <c r="E19">
        <v>2496</v>
      </c>
      <c r="F19">
        <v>4</v>
      </c>
      <c r="G19" t="s">
        <v>62</v>
      </c>
      <c r="H19" t="s">
        <v>96</v>
      </c>
      <c r="I19" t="s">
        <v>90</v>
      </c>
      <c r="J19" t="s">
        <v>30</v>
      </c>
      <c r="K19" t="s">
        <v>31</v>
      </c>
      <c r="L19" t="s">
        <v>38</v>
      </c>
      <c r="M19" t="s">
        <v>97</v>
      </c>
      <c r="N19">
        <v>1</v>
      </c>
      <c r="O19">
        <v>1</v>
      </c>
      <c r="P19">
        <v>0</v>
      </c>
      <c r="Q19">
        <v>71314.28571428571</v>
      </c>
      <c r="R19">
        <v>114.2857142857143</v>
      </c>
      <c r="S19">
        <v>624</v>
      </c>
      <c r="T19">
        <v>0</v>
      </c>
      <c r="U19">
        <v>1</v>
      </c>
      <c r="V19">
        <v>0</v>
      </c>
      <c r="W19">
        <v>7.822845290279774</v>
      </c>
      <c r="X19">
        <v>1</v>
      </c>
    </row>
    <row r="20" spans="1:24">
      <c r="A20" t="s">
        <v>98</v>
      </c>
      <c r="B20" t="s">
        <v>99</v>
      </c>
      <c r="C20" t="s">
        <v>26</v>
      </c>
      <c r="D20">
        <v>4.666</v>
      </c>
      <c r="E20">
        <v>599</v>
      </c>
      <c r="F20">
        <v>19</v>
      </c>
      <c r="G20" t="s">
        <v>27</v>
      </c>
      <c r="H20" t="s">
        <v>100</v>
      </c>
      <c r="I20" t="s">
        <v>29</v>
      </c>
      <c r="J20" t="s">
        <v>30</v>
      </c>
      <c r="K20" t="s">
        <v>30</v>
      </c>
      <c r="L20" t="s">
        <v>30</v>
      </c>
      <c r="M20" t="s">
        <v>44</v>
      </c>
      <c r="N20">
        <v>1</v>
      </c>
      <c r="O20">
        <v>1</v>
      </c>
      <c r="P20">
        <v>0</v>
      </c>
      <c r="Q20">
        <v>128.3754822117445</v>
      </c>
      <c r="R20">
        <v>4.072010287183884</v>
      </c>
      <c r="S20">
        <v>31.52631578947368</v>
      </c>
      <c r="T20">
        <v>0</v>
      </c>
      <c r="U20">
        <v>1</v>
      </c>
      <c r="V20">
        <v>0</v>
      </c>
      <c r="W20">
        <v>6.396929655216146</v>
      </c>
      <c r="X20">
        <v>0</v>
      </c>
    </row>
    <row r="21" spans="1:24">
      <c r="A21" t="s">
        <v>101</v>
      </c>
      <c r="B21" t="s">
        <v>102</v>
      </c>
      <c r="C21" t="s">
        <v>35</v>
      </c>
      <c r="D21">
        <v>3.525</v>
      </c>
      <c r="E21">
        <v>2374</v>
      </c>
      <c r="F21">
        <v>14</v>
      </c>
      <c r="G21" t="s">
        <v>36</v>
      </c>
      <c r="H21" t="s">
        <v>103</v>
      </c>
      <c r="I21" t="s">
        <v>29</v>
      </c>
      <c r="J21" t="s">
        <v>38</v>
      </c>
      <c r="K21" t="s">
        <v>30</v>
      </c>
      <c r="L21" t="s">
        <v>30</v>
      </c>
      <c r="M21" t="s">
        <v>83</v>
      </c>
      <c r="N21">
        <v>1</v>
      </c>
      <c r="O21">
        <v>1</v>
      </c>
      <c r="P21">
        <v>0</v>
      </c>
      <c r="Q21">
        <v>673.4751773049645</v>
      </c>
      <c r="R21">
        <v>3.971631205673759</v>
      </c>
      <c r="S21">
        <v>169.5714285714286</v>
      </c>
      <c r="T21">
        <v>0</v>
      </c>
      <c r="U21">
        <v>1</v>
      </c>
      <c r="V21">
        <v>0</v>
      </c>
      <c r="W21">
        <v>7.772752716468742</v>
      </c>
      <c r="X21">
        <v>0</v>
      </c>
    </row>
    <row r="22" spans="1:24">
      <c r="A22" t="s">
        <v>104</v>
      </c>
      <c r="B22" t="s">
        <v>105</v>
      </c>
      <c r="C22" t="s">
        <v>26</v>
      </c>
      <c r="D22">
        <v>4.657</v>
      </c>
      <c r="E22">
        <v>2500000</v>
      </c>
      <c r="F22">
        <v>19</v>
      </c>
      <c r="G22" t="s">
        <v>27</v>
      </c>
      <c r="H22" t="s">
        <v>106</v>
      </c>
      <c r="I22" t="s">
        <v>29</v>
      </c>
      <c r="J22" t="s">
        <v>30</v>
      </c>
      <c r="K22" t="s">
        <v>30</v>
      </c>
      <c r="L22" t="s">
        <v>30</v>
      </c>
      <c r="M22" t="s">
        <v>32</v>
      </c>
      <c r="N22">
        <v>1</v>
      </c>
      <c r="O22">
        <v>1</v>
      </c>
      <c r="P22">
        <v>0</v>
      </c>
      <c r="Q22">
        <v>536826.2830148163</v>
      </c>
      <c r="R22">
        <v>4.079879750912605</v>
      </c>
      <c r="S22">
        <v>131578.947368421</v>
      </c>
      <c r="T22">
        <v>0</v>
      </c>
      <c r="U22">
        <v>1</v>
      </c>
      <c r="V22">
        <v>1</v>
      </c>
      <c r="W22">
        <v>14.73180168983835</v>
      </c>
      <c r="X22">
        <v>0</v>
      </c>
    </row>
    <row r="23" spans="1:24">
      <c r="A23" t="s">
        <v>107</v>
      </c>
      <c r="B23" t="s">
        <v>108</v>
      </c>
      <c r="C23" t="s">
        <v>52</v>
      </c>
      <c r="D23">
        <v>3.559</v>
      </c>
      <c r="E23">
        <v>1211</v>
      </c>
      <c r="F23">
        <v>17</v>
      </c>
      <c r="G23" t="s">
        <v>62</v>
      </c>
      <c r="H23" t="s">
        <v>109</v>
      </c>
      <c r="I23" t="s">
        <v>29</v>
      </c>
      <c r="J23" t="s">
        <v>30</v>
      </c>
      <c r="K23" t="s">
        <v>30</v>
      </c>
      <c r="L23" t="s">
        <v>30</v>
      </c>
      <c r="M23" t="s">
        <v>97</v>
      </c>
      <c r="N23">
        <v>1</v>
      </c>
      <c r="O23">
        <v>1</v>
      </c>
      <c r="P23">
        <v>0</v>
      </c>
      <c r="Q23">
        <v>340.2641191345883</v>
      </c>
      <c r="R23">
        <v>4.776622646810901</v>
      </c>
      <c r="S23">
        <v>71.23529411764706</v>
      </c>
      <c r="T23">
        <v>0</v>
      </c>
      <c r="U23">
        <v>1</v>
      </c>
      <c r="V23">
        <v>0</v>
      </c>
      <c r="W23">
        <v>7.10002716662926</v>
      </c>
      <c r="X23">
        <v>0</v>
      </c>
    </row>
    <row r="24" spans="1:24">
      <c r="A24" t="s">
        <v>110</v>
      </c>
      <c r="B24" t="s">
        <v>111</v>
      </c>
      <c r="C24" t="s">
        <v>35</v>
      </c>
      <c r="D24">
        <v>8.613</v>
      </c>
      <c r="E24">
        <v>2020</v>
      </c>
      <c r="F24">
        <v>18</v>
      </c>
      <c r="G24" t="s">
        <v>27</v>
      </c>
      <c r="H24" t="s">
        <v>112</v>
      </c>
      <c r="I24" t="s">
        <v>29</v>
      </c>
      <c r="J24" t="s">
        <v>30</v>
      </c>
      <c r="K24" t="s">
        <v>38</v>
      </c>
      <c r="L24" t="s">
        <v>30</v>
      </c>
      <c r="M24" t="s">
        <v>97</v>
      </c>
      <c r="N24">
        <v>1</v>
      </c>
      <c r="O24">
        <v>1</v>
      </c>
      <c r="P24">
        <v>0</v>
      </c>
      <c r="Q24">
        <v>234.5292000464414</v>
      </c>
      <c r="R24">
        <v>2.089864158829676</v>
      </c>
      <c r="S24">
        <v>112.2222222222222</v>
      </c>
      <c r="T24">
        <v>0</v>
      </c>
      <c r="U24">
        <v>1</v>
      </c>
      <c r="V24">
        <v>0</v>
      </c>
      <c r="W24">
        <v>7.611347717403621</v>
      </c>
      <c r="X24">
        <v>0</v>
      </c>
    </row>
    <row r="25" spans="1:24">
      <c r="A25" t="s">
        <v>113</v>
      </c>
      <c r="B25" t="s">
        <v>114</v>
      </c>
      <c r="C25" t="s">
        <v>35</v>
      </c>
      <c r="D25">
        <v>0.31</v>
      </c>
      <c r="E25">
        <v>1998</v>
      </c>
      <c r="F25">
        <v>24</v>
      </c>
      <c r="G25" t="s">
        <v>47</v>
      </c>
      <c r="H25" t="s">
        <v>115</v>
      </c>
      <c r="I25" t="s">
        <v>29</v>
      </c>
      <c r="J25" t="s">
        <v>31</v>
      </c>
      <c r="K25" t="s">
        <v>31</v>
      </c>
      <c r="L25" t="s">
        <v>31</v>
      </c>
      <c r="M25" t="s">
        <v>83</v>
      </c>
      <c r="N25">
        <v>1</v>
      </c>
      <c r="O25">
        <v>1</v>
      </c>
      <c r="P25">
        <v>0</v>
      </c>
      <c r="Q25">
        <v>6445.16129032258</v>
      </c>
      <c r="R25">
        <v>77.41935483870968</v>
      </c>
      <c r="S25">
        <v>83.25</v>
      </c>
      <c r="T25">
        <v>0</v>
      </c>
      <c r="U25">
        <v>1</v>
      </c>
      <c r="V25">
        <v>0</v>
      </c>
      <c r="W25">
        <v>7.6004023345004</v>
      </c>
      <c r="X25">
        <v>0</v>
      </c>
    </row>
    <row r="26" spans="1:24">
      <c r="A26" t="s">
        <v>116</v>
      </c>
      <c r="B26" t="s">
        <v>117</v>
      </c>
      <c r="C26" t="s">
        <v>26</v>
      </c>
      <c r="D26">
        <v>6.194</v>
      </c>
      <c r="E26">
        <v>13262</v>
      </c>
      <c r="F26">
        <v>24</v>
      </c>
      <c r="G26" t="s">
        <v>62</v>
      </c>
      <c r="H26" t="s">
        <v>118</v>
      </c>
      <c r="I26" t="s">
        <v>29</v>
      </c>
      <c r="J26" t="s">
        <v>30</v>
      </c>
      <c r="K26" t="s">
        <v>30</v>
      </c>
      <c r="L26" t="s">
        <v>30</v>
      </c>
      <c r="M26" t="s">
        <v>97</v>
      </c>
      <c r="N26">
        <v>2</v>
      </c>
      <c r="O26">
        <v>1</v>
      </c>
      <c r="P26">
        <v>1</v>
      </c>
      <c r="Q26">
        <v>2141.104294478528</v>
      </c>
      <c r="R26">
        <v>3.87471746851792</v>
      </c>
      <c r="S26">
        <v>552.5833333333334</v>
      </c>
      <c r="T26">
        <v>0</v>
      </c>
      <c r="U26">
        <v>1</v>
      </c>
      <c r="V26">
        <v>1</v>
      </c>
      <c r="W26">
        <v>9.492733482494351</v>
      </c>
      <c r="X26">
        <v>0</v>
      </c>
    </row>
    <row r="27" spans="1:24">
      <c r="A27" t="s">
        <v>119</v>
      </c>
      <c r="B27" t="s">
        <v>120</v>
      </c>
      <c r="C27" t="s">
        <v>26</v>
      </c>
      <c r="D27">
        <v>0.654</v>
      </c>
      <c r="E27">
        <v>2882</v>
      </c>
      <c r="F27">
        <v>18</v>
      </c>
      <c r="G27" t="s">
        <v>47</v>
      </c>
      <c r="H27" t="s">
        <v>121</v>
      </c>
      <c r="I27" t="s">
        <v>29</v>
      </c>
      <c r="J27" t="s">
        <v>31</v>
      </c>
      <c r="K27" t="s">
        <v>30</v>
      </c>
      <c r="L27" t="s">
        <v>31</v>
      </c>
      <c r="M27" t="s">
        <v>44</v>
      </c>
      <c r="N27">
        <v>2</v>
      </c>
      <c r="O27">
        <v>1</v>
      </c>
      <c r="P27">
        <v>1</v>
      </c>
      <c r="Q27">
        <v>4406.727828746177</v>
      </c>
      <c r="R27">
        <v>27.52293577981652</v>
      </c>
      <c r="S27">
        <v>160.1111111111111</v>
      </c>
      <c r="T27">
        <v>0</v>
      </c>
      <c r="U27">
        <v>1</v>
      </c>
      <c r="V27">
        <v>0</v>
      </c>
      <c r="W27">
        <v>7.966586697638402</v>
      </c>
      <c r="X27">
        <v>0</v>
      </c>
    </row>
    <row r="28" spans="1:24">
      <c r="A28" t="s">
        <v>122</v>
      </c>
      <c r="B28" t="s">
        <v>123</v>
      </c>
      <c r="C28" t="s">
        <v>35</v>
      </c>
      <c r="D28">
        <v>3.64</v>
      </c>
      <c r="E28">
        <v>1115</v>
      </c>
      <c r="F28">
        <v>10</v>
      </c>
      <c r="G28" t="s">
        <v>62</v>
      </c>
      <c r="H28" t="s">
        <v>124</v>
      </c>
      <c r="I28" t="s">
        <v>29</v>
      </c>
      <c r="J28" t="s">
        <v>30</v>
      </c>
      <c r="K28" t="s">
        <v>30</v>
      </c>
      <c r="L28" t="s">
        <v>31</v>
      </c>
      <c r="M28" t="s">
        <v>44</v>
      </c>
      <c r="N28">
        <v>2</v>
      </c>
      <c r="O28">
        <v>1</v>
      </c>
      <c r="P28">
        <v>1</v>
      </c>
      <c r="Q28">
        <v>306.3186813186813</v>
      </c>
      <c r="R28">
        <v>2.747252747252748</v>
      </c>
      <c r="S28">
        <v>111.5</v>
      </c>
      <c r="T28">
        <v>0</v>
      </c>
      <c r="U28">
        <v>1</v>
      </c>
      <c r="V28">
        <v>0</v>
      </c>
      <c r="W28">
        <v>7.017506142941256</v>
      </c>
      <c r="X28">
        <v>0</v>
      </c>
    </row>
    <row r="29" spans="1:24">
      <c r="A29" t="s">
        <v>125</v>
      </c>
      <c r="B29" t="s">
        <v>126</v>
      </c>
      <c r="C29" t="s">
        <v>52</v>
      </c>
      <c r="D29">
        <v>11.29</v>
      </c>
      <c r="E29">
        <v>2278</v>
      </c>
      <c r="F29">
        <v>20</v>
      </c>
      <c r="G29" t="s">
        <v>36</v>
      </c>
      <c r="H29" t="s">
        <v>127</v>
      </c>
      <c r="I29" t="s">
        <v>29</v>
      </c>
      <c r="J29" t="s">
        <v>38</v>
      </c>
      <c r="K29" t="s">
        <v>38</v>
      </c>
      <c r="L29" t="s">
        <v>30</v>
      </c>
      <c r="M29" t="s">
        <v>76</v>
      </c>
      <c r="N29">
        <v>2</v>
      </c>
      <c r="O29">
        <v>1</v>
      </c>
      <c r="P29">
        <v>1</v>
      </c>
      <c r="Q29">
        <v>201.7714791851196</v>
      </c>
      <c r="R29">
        <v>1.771479185119575</v>
      </c>
      <c r="S29">
        <v>113.9</v>
      </c>
      <c r="T29">
        <v>0</v>
      </c>
      <c r="U29">
        <v>1</v>
      </c>
      <c r="V29">
        <v>0</v>
      </c>
      <c r="W29">
        <v>7.731492029245684</v>
      </c>
      <c r="X29">
        <v>0</v>
      </c>
    </row>
    <row r="30" spans="1:24">
      <c r="A30" t="s">
        <v>128</v>
      </c>
      <c r="B30" t="s">
        <v>129</v>
      </c>
      <c r="C30" t="s">
        <v>130</v>
      </c>
      <c r="D30">
        <v>1.546</v>
      </c>
      <c r="E30">
        <v>14157</v>
      </c>
      <c r="F30">
        <v>48</v>
      </c>
      <c r="G30" t="s">
        <v>36</v>
      </c>
      <c r="H30" t="s">
        <v>131</v>
      </c>
      <c r="I30" t="s">
        <v>49</v>
      </c>
      <c r="J30" t="s">
        <v>38</v>
      </c>
      <c r="K30" t="s">
        <v>31</v>
      </c>
      <c r="L30" t="s">
        <v>30</v>
      </c>
      <c r="M30" t="s">
        <v>97</v>
      </c>
      <c r="N30">
        <v>2</v>
      </c>
      <c r="O30">
        <v>1</v>
      </c>
      <c r="P30">
        <v>1</v>
      </c>
      <c r="Q30">
        <v>9157.179818887451</v>
      </c>
      <c r="R30">
        <v>31.04786545924967</v>
      </c>
      <c r="S30">
        <v>294.9375</v>
      </c>
      <c r="T30">
        <v>0</v>
      </c>
      <c r="U30">
        <v>1</v>
      </c>
      <c r="V30">
        <v>1</v>
      </c>
      <c r="W30">
        <v>9.558035114334135</v>
      </c>
      <c r="X30">
        <v>1</v>
      </c>
    </row>
    <row r="31" spans="1:24">
      <c r="A31" t="s">
        <v>132</v>
      </c>
      <c r="B31" t="s">
        <v>133</v>
      </c>
      <c r="C31" t="s">
        <v>35</v>
      </c>
      <c r="D31">
        <v>3.377</v>
      </c>
      <c r="E31">
        <v>5423</v>
      </c>
      <c r="F31">
        <v>14</v>
      </c>
      <c r="G31" t="s">
        <v>47</v>
      </c>
      <c r="H31" t="s">
        <v>134</v>
      </c>
      <c r="I31" t="s">
        <v>29</v>
      </c>
      <c r="J31" t="s">
        <v>31</v>
      </c>
      <c r="K31" t="s">
        <v>30</v>
      </c>
      <c r="L31" t="s">
        <v>31</v>
      </c>
      <c r="M31" t="s">
        <v>83</v>
      </c>
      <c r="N31">
        <v>2</v>
      </c>
      <c r="O31">
        <v>1</v>
      </c>
      <c r="P31">
        <v>1</v>
      </c>
      <c r="Q31">
        <v>1605.863192182411</v>
      </c>
      <c r="R31">
        <v>4.14569144210838</v>
      </c>
      <c r="S31">
        <v>387.3571428571428</v>
      </c>
      <c r="T31">
        <v>0</v>
      </c>
      <c r="U31">
        <v>1</v>
      </c>
      <c r="V31">
        <v>0</v>
      </c>
      <c r="W31">
        <v>8.598588829620232</v>
      </c>
      <c r="X31">
        <v>0</v>
      </c>
    </row>
    <row r="32" spans="1:24">
      <c r="A32" t="s">
        <v>135</v>
      </c>
      <c r="B32" t="s">
        <v>136</v>
      </c>
      <c r="C32" t="s">
        <v>35</v>
      </c>
      <c r="D32">
        <v>3.75</v>
      </c>
      <c r="E32">
        <v>1583</v>
      </c>
      <c r="F32">
        <v>21</v>
      </c>
      <c r="G32" t="s">
        <v>62</v>
      </c>
      <c r="H32" t="s">
        <v>137</v>
      </c>
      <c r="I32" t="s">
        <v>29</v>
      </c>
      <c r="J32" t="s">
        <v>30</v>
      </c>
      <c r="K32" t="s">
        <v>30</v>
      </c>
      <c r="L32" t="s">
        <v>31</v>
      </c>
      <c r="M32" t="s">
        <v>83</v>
      </c>
      <c r="N32">
        <v>2</v>
      </c>
      <c r="O32">
        <v>1</v>
      </c>
      <c r="P32">
        <v>1</v>
      </c>
      <c r="Q32">
        <v>422.1333333333333</v>
      </c>
      <c r="R32">
        <v>5.6</v>
      </c>
      <c r="S32">
        <v>75.38095238095238</v>
      </c>
      <c r="T32">
        <v>0</v>
      </c>
      <c r="U32">
        <v>1</v>
      </c>
      <c r="V32">
        <v>0</v>
      </c>
      <c r="W32">
        <v>7.367708572374371</v>
      </c>
      <c r="X32">
        <v>0</v>
      </c>
    </row>
    <row r="33" spans="1:24">
      <c r="A33" t="s">
        <v>138</v>
      </c>
      <c r="B33" t="s">
        <v>139</v>
      </c>
      <c r="C33" t="s">
        <v>35</v>
      </c>
      <c r="D33">
        <v>1.285</v>
      </c>
      <c r="E33">
        <v>1071</v>
      </c>
      <c r="F33">
        <v>16</v>
      </c>
      <c r="G33" t="s">
        <v>47</v>
      </c>
      <c r="H33" t="s">
        <v>140</v>
      </c>
      <c r="I33" t="s">
        <v>29</v>
      </c>
      <c r="J33" t="s">
        <v>31</v>
      </c>
      <c r="K33" t="s">
        <v>31</v>
      </c>
      <c r="L33" t="s">
        <v>31</v>
      </c>
      <c r="M33" t="s">
        <v>76</v>
      </c>
      <c r="N33">
        <v>2</v>
      </c>
      <c r="O33">
        <v>1</v>
      </c>
      <c r="P33">
        <v>1</v>
      </c>
      <c r="Q33">
        <v>833.4630350194553</v>
      </c>
      <c r="R33">
        <v>12.45136186770428</v>
      </c>
      <c r="S33">
        <v>66.9375</v>
      </c>
      <c r="T33">
        <v>0</v>
      </c>
      <c r="U33">
        <v>1</v>
      </c>
      <c r="V33">
        <v>0</v>
      </c>
      <c r="W33">
        <v>6.977281341630747</v>
      </c>
      <c r="X33">
        <v>0</v>
      </c>
    </row>
    <row r="34" spans="1:24">
      <c r="A34" t="s">
        <v>141</v>
      </c>
      <c r="B34" t="s">
        <v>142</v>
      </c>
      <c r="C34" t="s">
        <v>52</v>
      </c>
      <c r="D34">
        <v>8.954000000000001</v>
      </c>
      <c r="E34">
        <v>2225</v>
      </c>
      <c r="F34">
        <v>17</v>
      </c>
      <c r="G34" t="s">
        <v>36</v>
      </c>
      <c r="H34" t="s">
        <v>143</v>
      </c>
      <c r="I34" t="s">
        <v>29</v>
      </c>
      <c r="J34" t="s">
        <v>38</v>
      </c>
      <c r="K34" t="s">
        <v>30</v>
      </c>
      <c r="L34" t="s">
        <v>31</v>
      </c>
      <c r="M34" t="s">
        <v>76</v>
      </c>
      <c r="N34">
        <v>2</v>
      </c>
      <c r="O34">
        <v>1</v>
      </c>
      <c r="P34">
        <v>1</v>
      </c>
      <c r="Q34">
        <v>248.4922939468394</v>
      </c>
      <c r="R34">
        <v>1.898592807683717</v>
      </c>
      <c r="S34">
        <v>130.8823529411765</v>
      </c>
      <c r="T34">
        <v>0</v>
      </c>
      <c r="U34">
        <v>1</v>
      </c>
      <c r="V34">
        <v>0</v>
      </c>
      <c r="W34">
        <v>7.70796153183549</v>
      </c>
      <c r="X34">
        <v>0</v>
      </c>
    </row>
    <row r="35" spans="1:24">
      <c r="A35" t="s">
        <v>144</v>
      </c>
      <c r="B35" t="s">
        <v>145</v>
      </c>
      <c r="C35" t="s">
        <v>35</v>
      </c>
      <c r="D35">
        <v>2.814</v>
      </c>
      <c r="E35">
        <v>1780</v>
      </c>
      <c r="F35">
        <v>13</v>
      </c>
      <c r="G35" t="s">
        <v>62</v>
      </c>
      <c r="H35" t="s">
        <v>146</v>
      </c>
      <c r="I35" t="s">
        <v>29</v>
      </c>
      <c r="J35" t="s">
        <v>30</v>
      </c>
      <c r="K35" t="s">
        <v>30</v>
      </c>
      <c r="L35" t="s">
        <v>31</v>
      </c>
      <c r="M35" t="s">
        <v>97</v>
      </c>
      <c r="N35">
        <v>2</v>
      </c>
      <c r="O35">
        <v>1</v>
      </c>
      <c r="P35">
        <v>1</v>
      </c>
      <c r="Q35">
        <v>632.5515280739161</v>
      </c>
      <c r="R35">
        <v>4.619758351101635</v>
      </c>
      <c r="S35">
        <v>136.9230769230769</v>
      </c>
      <c r="T35">
        <v>0</v>
      </c>
      <c r="U35">
        <v>1</v>
      </c>
      <c r="V35">
        <v>0</v>
      </c>
      <c r="W35">
        <v>7.484930283289661</v>
      </c>
      <c r="X35">
        <v>0</v>
      </c>
    </row>
    <row r="36" spans="1:24">
      <c r="A36" t="s">
        <v>147</v>
      </c>
      <c r="B36" t="s">
        <v>148</v>
      </c>
      <c r="C36" t="s">
        <v>26</v>
      </c>
      <c r="D36">
        <v>4.432</v>
      </c>
      <c r="E36">
        <v>6872</v>
      </c>
      <c r="F36">
        <v>23</v>
      </c>
      <c r="G36" t="s">
        <v>47</v>
      </c>
      <c r="H36" t="s">
        <v>149</v>
      </c>
      <c r="I36" t="s">
        <v>29</v>
      </c>
      <c r="J36" t="s">
        <v>31</v>
      </c>
      <c r="K36" t="s">
        <v>30</v>
      </c>
      <c r="L36" t="s">
        <v>38</v>
      </c>
      <c r="M36" t="s">
        <v>76</v>
      </c>
      <c r="N36">
        <v>2</v>
      </c>
      <c r="O36">
        <v>1</v>
      </c>
      <c r="P36">
        <v>1</v>
      </c>
      <c r="Q36">
        <v>1550.541516245487</v>
      </c>
      <c r="R36">
        <v>5.189530685920577</v>
      </c>
      <c r="S36">
        <v>298.7826086956522</v>
      </c>
      <c r="T36">
        <v>0</v>
      </c>
      <c r="U36">
        <v>1</v>
      </c>
      <c r="V36">
        <v>0</v>
      </c>
      <c r="W36">
        <v>8.835355971121606</v>
      </c>
      <c r="X36">
        <v>0</v>
      </c>
    </row>
    <row r="37" spans="1:24">
      <c r="A37" t="s">
        <v>150</v>
      </c>
      <c r="B37" t="s">
        <v>151</v>
      </c>
      <c r="C37" t="s">
        <v>35</v>
      </c>
      <c r="D37">
        <v>4.902</v>
      </c>
      <c r="E37">
        <v>4946</v>
      </c>
      <c r="F37">
        <v>25</v>
      </c>
      <c r="G37" t="s">
        <v>47</v>
      </c>
      <c r="H37" t="s">
        <v>152</v>
      </c>
      <c r="I37" t="s">
        <v>29</v>
      </c>
      <c r="J37" t="s">
        <v>31</v>
      </c>
      <c r="K37" t="s">
        <v>30</v>
      </c>
      <c r="L37" t="s">
        <v>30</v>
      </c>
      <c r="M37" t="s">
        <v>97</v>
      </c>
      <c r="N37">
        <v>2</v>
      </c>
      <c r="O37">
        <v>1</v>
      </c>
      <c r="P37">
        <v>1</v>
      </c>
      <c r="Q37">
        <v>1008.975928192574</v>
      </c>
      <c r="R37">
        <v>5.099959200326397</v>
      </c>
      <c r="S37">
        <v>197.84</v>
      </c>
      <c r="T37">
        <v>0</v>
      </c>
      <c r="U37">
        <v>1</v>
      </c>
      <c r="V37">
        <v>0</v>
      </c>
      <c r="W37">
        <v>8.506536611227709</v>
      </c>
      <c r="X37">
        <v>0</v>
      </c>
    </row>
    <row r="38" spans="1:24">
      <c r="A38" t="s">
        <v>153</v>
      </c>
      <c r="B38" t="s">
        <v>154</v>
      </c>
      <c r="C38" t="s">
        <v>35</v>
      </c>
      <c r="D38">
        <v>6.26</v>
      </c>
      <c r="E38">
        <v>10906</v>
      </c>
      <c r="F38">
        <v>20</v>
      </c>
      <c r="G38" t="s">
        <v>27</v>
      </c>
      <c r="H38" t="s">
        <v>155</v>
      </c>
      <c r="I38" t="s">
        <v>29</v>
      </c>
      <c r="J38" t="s">
        <v>30</v>
      </c>
      <c r="K38" t="s">
        <v>30</v>
      </c>
      <c r="L38" t="s">
        <v>31</v>
      </c>
      <c r="M38" t="s">
        <v>76</v>
      </c>
      <c r="N38">
        <v>3</v>
      </c>
      <c r="O38">
        <v>1</v>
      </c>
      <c r="P38">
        <v>1</v>
      </c>
      <c r="Q38">
        <v>1742.172523961662</v>
      </c>
      <c r="R38">
        <v>3.194888178913738</v>
      </c>
      <c r="S38">
        <v>545.3</v>
      </c>
      <c r="T38">
        <v>0</v>
      </c>
      <c r="U38">
        <v>1</v>
      </c>
      <c r="V38">
        <v>1</v>
      </c>
      <c r="W38">
        <v>9.297160063928745</v>
      </c>
      <c r="X38">
        <v>0</v>
      </c>
    </row>
    <row r="39" spans="1:24">
      <c r="A39" t="s">
        <v>156</v>
      </c>
      <c r="B39" t="s">
        <v>157</v>
      </c>
      <c r="C39" t="s">
        <v>35</v>
      </c>
      <c r="D39">
        <v>5.264</v>
      </c>
      <c r="E39">
        <v>4423</v>
      </c>
      <c r="F39">
        <v>22</v>
      </c>
      <c r="G39" t="s">
        <v>36</v>
      </c>
      <c r="H39" t="s">
        <v>158</v>
      </c>
      <c r="I39" t="s">
        <v>29</v>
      </c>
      <c r="J39" t="s">
        <v>38</v>
      </c>
      <c r="K39" t="s">
        <v>30</v>
      </c>
      <c r="L39" t="s">
        <v>31</v>
      </c>
      <c r="M39" t="s">
        <v>76</v>
      </c>
      <c r="N39">
        <v>3</v>
      </c>
      <c r="O39">
        <v>1</v>
      </c>
      <c r="P39">
        <v>1</v>
      </c>
      <c r="Q39">
        <v>840.2355623100303</v>
      </c>
      <c r="R39">
        <v>4.179331306990881</v>
      </c>
      <c r="S39">
        <v>201.0454545454545</v>
      </c>
      <c r="T39">
        <v>0</v>
      </c>
      <c r="U39">
        <v>1</v>
      </c>
      <c r="V39">
        <v>0</v>
      </c>
      <c r="W39">
        <v>8.39479954320217</v>
      </c>
      <c r="X39">
        <v>0</v>
      </c>
    </row>
    <row r="40" spans="1:24">
      <c r="A40" t="s">
        <v>159</v>
      </c>
      <c r="B40" t="s">
        <v>160</v>
      </c>
      <c r="C40" t="s">
        <v>35</v>
      </c>
      <c r="D40">
        <v>8.885999999999999</v>
      </c>
      <c r="E40">
        <v>2949</v>
      </c>
      <c r="F40">
        <v>28</v>
      </c>
      <c r="G40" t="s">
        <v>47</v>
      </c>
      <c r="H40" t="s">
        <v>161</v>
      </c>
      <c r="I40" t="s">
        <v>29</v>
      </c>
      <c r="J40" t="s">
        <v>31</v>
      </c>
      <c r="K40" t="s">
        <v>30</v>
      </c>
      <c r="L40" t="s">
        <v>31</v>
      </c>
      <c r="M40" t="s">
        <v>44</v>
      </c>
      <c r="N40">
        <v>3</v>
      </c>
      <c r="O40">
        <v>1</v>
      </c>
      <c r="P40">
        <v>1</v>
      </c>
      <c r="Q40">
        <v>331.8703578663066</v>
      </c>
      <c r="R40">
        <v>3.151024082826919</v>
      </c>
      <c r="S40">
        <v>105.3214285714286</v>
      </c>
      <c r="T40">
        <v>0</v>
      </c>
      <c r="U40">
        <v>1</v>
      </c>
      <c r="V40">
        <v>0</v>
      </c>
      <c r="W40">
        <v>7.989560449333865</v>
      </c>
      <c r="X40">
        <v>0</v>
      </c>
    </row>
    <row r="41" spans="1:24">
      <c r="A41" t="s">
        <v>162</v>
      </c>
      <c r="B41" t="s">
        <v>163</v>
      </c>
      <c r="C41" t="s">
        <v>35</v>
      </c>
      <c r="D41">
        <v>4.01</v>
      </c>
      <c r="E41">
        <v>10432</v>
      </c>
      <c r="F41">
        <v>18</v>
      </c>
      <c r="G41" t="s">
        <v>36</v>
      </c>
      <c r="H41" t="s">
        <v>164</v>
      </c>
      <c r="I41" t="s">
        <v>29</v>
      </c>
      <c r="J41" t="s">
        <v>38</v>
      </c>
      <c r="K41" t="s">
        <v>31</v>
      </c>
      <c r="L41" t="s">
        <v>31</v>
      </c>
      <c r="M41" t="s">
        <v>97</v>
      </c>
      <c r="N41">
        <v>3</v>
      </c>
      <c r="O41">
        <v>1</v>
      </c>
      <c r="P41">
        <v>1</v>
      </c>
      <c r="Q41">
        <v>2601.496259351621</v>
      </c>
      <c r="R41">
        <v>4.488778054862843</v>
      </c>
      <c r="S41">
        <v>579.5555555555555</v>
      </c>
      <c r="T41">
        <v>0</v>
      </c>
      <c r="U41">
        <v>1</v>
      </c>
      <c r="V41">
        <v>1</v>
      </c>
      <c r="W41">
        <v>9.25272913846797</v>
      </c>
      <c r="X41">
        <v>0</v>
      </c>
    </row>
    <row r="42" spans="1:24">
      <c r="A42" t="s">
        <v>165</v>
      </c>
      <c r="B42" t="s">
        <v>166</v>
      </c>
      <c r="C42" t="s">
        <v>35</v>
      </c>
      <c r="D42">
        <v>0.864</v>
      </c>
      <c r="E42">
        <v>1826</v>
      </c>
      <c r="F42">
        <v>11</v>
      </c>
      <c r="G42" t="s">
        <v>27</v>
      </c>
      <c r="H42" t="s">
        <v>167</v>
      </c>
      <c r="I42" t="s">
        <v>29</v>
      </c>
      <c r="J42" t="s">
        <v>30</v>
      </c>
      <c r="K42" t="s">
        <v>30</v>
      </c>
      <c r="L42" t="s">
        <v>31</v>
      </c>
      <c r="M42" t="s">
        <v>32</v>
      </c>
      <c r="N42">
        <v>3</v>
      </c>
      <c r="O42">
        <v>1</v>
      </c>
      <c r="P42">
        <v>1</v>
      </c>
      <c r="Q42">
        <v>2113.425925925926</v>
      </c>
      <c r="R42">
        <v>12.73148148148148</v>
      </c>
      <c r="S42">
        <v>166</v>
      </c>
      <c r="T42">
        <v>0</v>
      </c>
      <c r="U42">
        <v>1</v>
      </c>
      <c r="V42">
        <v>0</v>
      </c>
      <c r="W42">
        <v>7.510430556378006</v>
      </c>
      <c r="X42">
        <v>0</v>
      </c>
    </row>
    <row r="43" spans="1:24">
      <c r="A43" t="s">
        <v>168</v>
      </c>
      <c r="B43" t="s">
        <v>169</v>
      </c>
      <c r="C43" t="s">
        <v>130</v>
      </c>
      <c r="D43">
        <v>3.309</v>
      </c>
      <c r="E43">
        <v>694</v>
      </c>
      <c r="F43">
        <v>14</v>
      </c>
      <c r="G43" t="s">
        <v>47</v>
      </c>
      <c r="H43" t="s">
        <v>170</v>
      </c>
      <c r="I43" t="s">
        <v>29</v>
      </c>
      <c r="J43" t="s">
        <v>31</v>
      </c>
      <c r="K43" t="s">
        <v>30</v>
      </c>
      <c r="L43" t="s">
        <v>31</v>
      </c>
      <c r="M43" t="s">
        <v>76</v>
      </c>
      <c r="N43">
        <v>3</v>
      </c>
      <c r="O43">
        <v>1</v>
      </c>
      <c r="P43">
        <v>1</v>
      </c>
      <c r="Q43">
        <v>209.7310365669386</v>
      </c>
      <c r="R43">
        <v>4.23088546388637</v>
      </c>
      <c r="S43">
        <v>49.57142857142857</v>
      </c>
      <c r="T43">
        <v>0</v>
      </c>
      <c r="U43">
        <v>1</v>
      </c>
      <c r="V43">
        <v>0</v>
      </c>
      <c r="W43">
        <v>6.543911845564792</v>
      </c>
      <c r="X43">
        <v>0</v>
      </c>
    </row>
    <row r="44" spans="1:24">
      <c r="A44" t="s">
        <v>171</v>
      </c>
      <c r="B44" t="s">
        <v>172</v>
      </c>
      <c r="C44" t="s">
        <v>35</v>
      </c>
      <c r="D44">
        <v>2.533</v>
      </c>
      <c r="E44">
        <v>1232</v>
      </c>
      <c r="F44">
        <v>17</v>
      </c>
      <c r="G44" t="s">
        <v>47</v>
      </c>
      <c r="H44" t="s">
        <v>173</v>
      </c>
      <c r="I44" t="s">
        <v>29</v>
      </c>
      <c r="J44" t="s">
        <v>31</v>
      </c>
      <c r="K44" t="s">
        <v>38</v>
      </c>
      <c r="L44" t="s">
        <v>30</v>
      </c>
      <c r="M44" t="s">
        <v>44</v>
      </c>
      <c r="N44">
        <v>3</v>
      </c>
      <c r="O44">
        <v>1</v>
      </c>
      <c r="P44">
        <v>1</v>
      </c>
      <c r="Q44">
        <v>486.3797868140545</v>
      </c>
      <c r="R44">
        <v>6.711409395973154</v>
      </c>
      <c r="S44">
        <v>72.47058823529412</v>
      </c>
      <c r="T44">
        <v>0</v>
      </c>
      <c r="U44">
        <v>1</v>
      </c>
      <c r="V44">
        <v>0</v>
      </c>
      <c r="W44">
        <v>7.117205503164344</v>
      </c>
      <c r="X44">
        <v>0</v>
      </c>
    </row>
    <row r="45" spans="1:24">
      <c r="A45" t="s">
        <v>174</v>
      </c>
      <c r="B45" t="s">
        <v>175</v>
      </c>
      <c r="C45" t="s">
        <v>26</v>
      </c>
      <c r="D45">
        <v>4.277</v>
      </c>
      <c r="E45">
        <v>4617</v>
      </c>
      <c r="F45">
        <v>24</v>
      </c>
      <c r="G45" t="s">
        <v>27</v>
      </c>
      <c r="H45" t="s">
        <v>176</v>
      </c>
      <c r="I45" t="s">
        <v>29</v>
      </c>
      <c r="J45" t="s">
        <v>30</v>
      </c>
      <c r="K45" t="s">
        <v>30</v>
      </c>
      <c r="L45" t="s">
        <v>30</v>
      </c>
      <c r="M45" t="s">
        <v>97</v>
      </c>
      <c r="N45">
        <v>3</v>
      </c>
      <c r="O45">
        <v>1</v>
      </c>
      <c r="P45">
        <v>1</v>
      </c>
      <c r="Q45">
        <v>1079.494973111994</v>
      </c>
      <c r="R45">
        <v>5.611409866729016</v>
      </c>
      <c r="S45">
        <v>192.375</v>
      </c>
      <c r="T45">
        <v>0</v>
      </c>
      <c r="U45">
        <v>1</v>
      </c>
      <c r="V45">
        <v>0</v>
      </c>
      <c r="W45">
        <v>8.43771698991444</v>
      </c>
      <c r="X45">
        <v>0</v>
      </c>
    </row>
    <row r="46" spans="1:24">
      <c r="A46" t="s">
        <v>177</v>
      </c>
      <c r="B46" t="s">
        <v>178</v>
      </c>
      <c r="C46" t="s">
        <v>35</v>
      </c>
      <c r="D46">
        <v>15.318</v>
      </c>
      <c r="E46">
        <v>2413</v>
      </c>
      <c r="F46">
        <v>23</v>
      </c>
      <c r="G46" t="s">
        <v>62</v>
      </c>
      <c r="H46" t="s">
        <v>179</v>
      </c>
      <c r="I46" t="s">
        <v>29</v>
      </c>
      <c r="J46" t="s">
        <v>30</v>
      </c>
      <c r="K46" t="s">
        <v>30</v>
      </c>
      <c r="L46" t="s">
        <v>31</v>
      </c>
      <c r="M46" t="s">
        <v>76</v>
      </c>
      <c r="N46">
        <v>3</v>
      </c>
      <c r="O46">
        <v>1</v>
      </c>
      <c r="P46">
        <v>1</v>
      </c>
      <c r="Q46">
        <v>157.527092309701</v>
      </c>
      <c r="R46">
        <v>1.501501501501502</v>
      </c>
      <c r="S46">
        <v>104.9130434782609</v>
      </c>
      <c r="T46">
        <v>0</v>
      </c>
      <c r="U46">
        <v>1</v>
      </c>
      <c r="V46">
        <v>0</v>
      </c>
      <c r="W46">
        <v>7.789040401657477</v>
      </c>
      <c r="X46">
        <v>0</v>
      </c>
    </row>
    <row r="47" spans="1:24">
      <c r="A47" t="s">
        <v>180</v>
      </c>
      <c r="B47" t="s">
        <v>181</v>
      </c>
      <c r="C47" t="s">
        <v>26</v>
      </c>
      <c r="D47">
        <v>6.133</v>
      </c>
      <c r="E47">
        <v>6072</v>
      </c>
      <c r="F47">
        <v>16</v>
      </c>
      <c r="G47" t="s">
        <v>47</v>
      </c>
      <c r="H47" t="s">
        <v>182</v>
      </c>
      <c r="I47" t="s">
        <v>29</v>
      </c>
      <c r="J47" t="s">
        <v>31</v>
      </c>
      <c r="K47" t="s">
        <v>30</v>
      </c>
      <c r="L47" t="s">
        <v>31</v>
      </c>
      <c r="M47" t="s">
        <v>76</v>
      </c>
      <c r="N47">
        <v>3</v>
      </c>
      <c r="O47">
        <v>1</v>
      </c>
      <c r="P47">
        <v>1</v>
      </c>
      <c r="Q47">
        <v>990.0538072721343</v>
      </c>
      <c r="R47">
        <v>2.608837436817218</v>
      </c>
      <c r="S47">
        <v>379.5</v>
      </c>
      <c r="T47">
        <v>0</v>
      </c>
      <c r="U47">
        <v>1</v>
      </c>
      <c r="V47">
        <v>0</v>
      </c>
      <c r="W47">
        <v>8.711607995897575</v>
      </c>
      <c r="X47">
        <v>0</v>
      </c>
    </row>
    <row r="48" spans="1:24">
      <c r="A48" t="s">
        <v>183</v>
      </c>
      <c r="B48" t="s">
        <v>184</v>
      </c>
      <c r="C48" t="s">
        <v>26</v>
      </c>
      <c r="D48">
        <v>12.482</v>
      </c>
      <c r="E48">
        <v>2542</v>
      </c>
      <c r="F48">
        <v>17</v>
      </c>
      <c r="G48" t="s">
        <v>47</v>
      </c>
      <c r="H48" t="s">
        <v>185</v>
      </c>
      <c r="I48" t="s">
        <v>29</v>
      </c>
      <c r="J48" t="s">
        <v>31</v>
      </c>
      <c r="K48" t="s">
        <v>31</v>
      </c>
      <c r="L48" t="s">
        <v>30</v>
      </c>
      <c r="M48" t="s">
        <v>97</v>
      </c>
      <c r="N48">
        <v>3</v>
      </c>
      <c r="O48">
        <v>1</v>
      </c>
      <c r="P48">
        <v>1</v>
      </c>
      <c r="Q48">
        <v>203.6532606954014</v>
      </c>
      <c r="R48">
        <v>1.361961224162794</v>
      </c>
      <c r="S48">
        <v>149.5294117647059</v>
      </c>
      <c r="T48">
        <v>0</v>
      </c>
      <c r="U48">
        <v>1</v>
      </c>
      <c r="V48">
        <v>0</v>
      </c>
      <c r="W48">
        <v>7.841099765422119</v>
      </c>
      <c r="X48">
        <v>0</v>
      </c>
    </row>
    <row r="49" spans="1:24">
      <c r="A49" t="s">
        <v>186</v>
      </c>
      <c r="B49" t="s">
        <v>187</v>
      </c>
      <c r="C49" t="s">
        <v>52</v>
      </c>
      <c r="D49">
        <v>2.087</v>
      </c>
      <c r="E49">
        <v>2952</v>
      </c>
      <c r="F49">
        <v>26</v>
      </c>
      <c r="G49" t="s">
        <v>36</v>
      </c>
      <c r="H49" t="s">
        <v>188</v>
      </c>
      <c r="I49" t="s">
        <v>29</v>
      </c>
      <c r="J49" t="s">
        <v>38</v>
      </c>
      <c r="K49" t="s">
        <v>30</v>
      </c>
      <c r="L49" t="s">
        <v>31</v>
      </c>
      <c r="M49" t="s">
        <v>32</v>
      </c>
      <c r="N49">
        <v>3</v>
      </c>
      <c r="O49">
        <v>1</v>
      </c>
      <c r="P49">
        <v>1</v>
      </c>
      <c r="Q49">
        <v>1414.470531863919</v>
      </c>
      <c r="R49">
        <v>12.45807379012937</v>
      </c>
      <c r="S49">
        <v>113.5384615384615</v>
      </c>
      <c r="T49">
        <v>0</v>
      </c>
      <c r="U49">
        <v>1</v>
      </c>
      <c r="V49">
        <v>0</v>
      </c>
      <c r="W49">
        <v>7.990576881743923</v>
      </c>
      <c r="X49">
        <v>0</v>
      </c>
    </row>
    <row r="50" spans="1:24">
      <c r="A50" t="s">
        <v>189</v>
      </c>
      <c r="B50" t="s">
        <v>190</v>
      </c>
      <c r="C50" t="s">
        <v>26</v>
      </c>
      <c r="D50">
        <v>0.755</v>
      </c>
      <c r="E50">
        <v>2164</v>
      </c>
      <c r="F50">
        <v>20</v>
      </c>
      <c r="G50" t="s">
        <v>27</v>
      </c>
      <c r="H50" t="s">
        <v>191</v>
      </c>
      <c r="I50" t="s">
        <v>29</v>
      </c>
      <c r="J50" t="s">
        <v>30</v>
      </c>
      <c r="K50" t="s">
        <v>30</v>
      </c>
      <c r="L50" t="s">
        <v>30</v>
      </c>
      <c r="M50" t="s">
        <v>44</v>
      </c>
      <c r="N50">
        <v>4</v>
      </c>
      <c r="O50">
        <v>1</v>
      </c>
      <c r="P50">
        <v>0</v>
      </c>
      <c r="Q50">
        <v>2866.225165562914</v>
      </c>
      <c r="R50">
        <v>26.49006622516556</v>
      </c>
      <c r="S50">
        <v>108.2</v>
      </c>
      <c r="T50">
        <v>0</v>
      </c>
      <c r="U50">
        <v>1</v>
      </c>
      <c r="V50">
        <v>0</v>
      </c>
      <c r="W50">
        <v>7.68017564043659</v>
      </c>
      <c r="X50">
        <v>0</v>
      </c>
    </row>
    <row r="51" spans="1:24">
      <c r="A51" t="s">
        <v>192</v>
      </c>
      <c r="B51" t="s">
        <v>193</v>
      </c>
      <c r="C51" t="s">
        <v>35</v>
      </c>
      <c r="D51">
        <v>0.539</v>
      </c>
      <c r="E51">
        <v>2756</v>
      </c>
      <c r="F51">
        <v>17</v>
      </c>
      <c r="G51" t="s">
        <v>36</v>
      </c>
      <c r="H51" t="s">
        <v>194</v>
      </c>
      <c r="I51" t="s">
        <v>29</v>
      </c>
      <c r="J51" t="s">
        <v>38</v>
      </c>
      <c r="K51" t="s">
        <v>30</v>
      </c>
      <c r="L51" t="s">
        <v>31</v>
      </c>
      <c r="M51" t="s">
        <v>44</v>
      </c>
      <c r="N51">
        <v>4</v>
      </c>
      <c r="O51">
        <v>1</v>
      </c>
      <c r="P51">
        <v>0</v>
      </c>
      <c r="Q51">
        <v>5113.17254174397</v>
      </c>
      <c r="R51">
        <v>31.53988868274583</v>
      </c>
      <c r="S51">
        <v>162.1176470588235</v>
      </c>
      <c r="T51">
        <v>0</v>
      </c>
      <c r="U51">
        <v>1</v>
      </c>
      <c r="V51">
        <v>0</v>
      </c>
      <c r="W51">
        <v>7.921898411023797</v>
      </c>
      <c r="X51">
        <v>0</v>
      </c>
    </row>
    <row r="52" spans="1:24">
      <c r="A52" t="s">
        <v>195</v>
      </c>
      <c r="B52" t="s">
        <v>196</v>
      </c>
      <c r="C52" t="s">
        <v>35</v>
      </c>
      <c r="D52">
        <v>10.518</v>
      </c>
      <c r="E52">
        <v>3395</v>
      </c>
      <c r="F52">
        <v>16</v>
      </c>
      <c r="G52" t="s">
        <v>27</v>
      </c>
      <c r="H52" t="s">
        <v>197</v>
      </c>
      <c r="I52" t="s">
        <v>29</v>
      </c>
      <c r="J52" t="s">
        <v>30</v>
      </c>
      <c r="K52" t="s">
        <v>30</v>
      </c>
      <c r="L52" t="s">
        <v>30</v>
      </c>
      <c r="M52" t="s">
        <v>76</v>
      </c>
      <c r="N52">
        <v>4</v>
      </c>
      <c r="O52">
        <v>1</v>
      </c>
      <c r="P52">
        <v>0</v>
      </c>
      <c r="Q52">
        <v>322.7799961969956</v>
      </c>
      <c r="R52">
        <v>1.521201749382012</v>
      </c>
      <c r="S52">
        <v>212.1875</v>
      </c>
      <c r="T52">
        <v>0</v>
      </c>
      <c r="U52">
        <v>1</v>
      </c>
      <c r="V52">
        <v>0</v>
      </c>
      <c r="W52">
        <v>8.130353547431238</v>
      </c>
      <c r="X52">
        <v>0</v>
      </c>
    </row>
    <row r="53" spans="1:24">
      <c r="A53" t="s">
        <v>198</v>
      </c>
      <c r="B53" t="s">
        <v>199</v>
      </c>
      <c r="C53" t="s">
        <v>35</v>
      </c>
      <c r="D53">
        <v>2.557</v>
      </c>
      <c r="E53">
        <v>1425</v>
      </c>
      <c r="F53">
        <v>19</v>
      </c>
      <c r="G53" t="s">
        <v>36</v>
      </c>
      <c r="H53" t="s">
        <v>200</v>
      </c>
      <c r="I53" t="s">
        <v>29</v>
      </c>
      <c r="J53" t="s">
        <v>38</v>
      </c>
      <c r="K53" t="s">
        <v>30</v>
      </c>
      <c r="L53" t="s">
        <v>31</v>
      </c>
      <c r="M53" t="s">
        <v>44</v>
      </c>
      <c r="N53">
        <v>4</v>
      </c>
      <c r="O53">
        <v>1</v>
      </c>
      <c r="P53">
        <v>0</v>
      </c>
      <c r="Q53">
        <v>557.2937035588581</v>
      </c>
      <c r="R53">
        <v>7.430582714118107</v>
      </c>
      <c r="S53">
        <v>75</v>
      </c>
      <c r="T53">
        <v>0</v>
      </c>
      <c r="U53">
        <v>1</v>
      </c>
      <c r="V53">
        <v>0</v>
      </c>
      <c r="W53">
        <v>7.262628600974241</v>
      </c>
      <c r="X53">
        <v>0</v>
      </c>
    </row>
    <row r="54" spans="1:24">
      <c r="A54" t="s">
        <v>201</v>
      </c>
      <c r="B54" t="s">
        <v>202</v>
      </c>
      <c r="C54" t="s">
        <v>26</v>
      </c>
      <c r="D54">
        <v>1.385</v>
      </c>
      <c r="E54">
        <v>2001</v>
      </c>
      <c r="F54">
        <v>15</v>
      </c>
      <c r="G54" t="s">
        <v>62</v>
      </c>
      <c r="H54" t="s">
        <v>203</v>
      </c>
      <c r="I54" t="s">
        <v>29</v>
      </c>
      <c r="J54" t="s">
        <v>30</v>
      </c>
      <c r="K54" t="s">
        <v>38</v>
      </c>
      <c r="L54" t="s">
        <v>38</v>
      </c>
      <c r="M54" t="s">
        <v>44</v>
      </c>
      <c r="N54">
        <v>4</v>
      </c>
      <c r="O54">
        <v>1</v>
      </c>
      <c r="P54">
        <v>0</v>
      </c>
      <c r="Q54">
        <v>1444.765342960289</v>
      </c>
      <c r="R54">
        <v>10.83032490974729</v>
      </c>
      <c r="S54">
        <v>133.4</v>
      </c>
      <c r="T54">
        <v>0</v>
      </c>
      <c r="U54">
        <v>1</v>
      </c>
      <c r="V54">
        <v>0</v>
      </c>
      <c r="W54">
        <v>7.601901959875166</v>
      </c>
      <c r="X54">
        <v>0</v>
      </c>
    </row>
    <row r="55" spans="1:24">
      <c r="A55" t="s">
        <v>204</v>
      </c>
      <c r="B55" t="s">
        <v>205</v>
      </c>
      <c r="C55" t="s">
        <v>52</v>
      </c>
      <c r="D55">
        <v>7.581</v>
      </c>
      <c r="E55">
        <v>3809</v>
      </c>
      <c r="F55">
        <v>15</v>
      </c>
      <c r="G55" t="s">
        <v>47</v>
      </c>
      <c r="H55" t="s">
        <v>206</v>
      </c>
      <c r="I55" t="s">
        <v>29</v>
      </c>
      <c r="J55" t="s">
        <v>31</v>
      </c>
      <c r="K55" t="s">
        <v>30</v>
      </c>
      <c r="L55" t="s">
        <v>31</v>
      </c>
      <c r="M55" t="s">
        <v>83</v>
      </c>
      <c r="N55">
        <v>4</v>
      </c>
      <c r="O55">
        <v>1</v>
      </c>
      <c r="P55">
        <v>0</v>
      </c>
      <c r="Q55">
        <v>502.4403113045772</v>
      </c>
      <c r="R55">
        <v>1.978630787495053</v>
      </c>
      <c r="S55">
        <v>253.9333333333333</v>
      </c>
      <c r="T55">
        <v>0</v>
      </c>
      <c r="U55">
        <v>1</v>
      </c>
      <c r="V55">
        <v>0</v>
      </c>
      <c r="W55">
        <v>8.245384468120747</v>
      </c>
      <c r="X55">
        <v>0</v>
      </c>
    </row>
    <row r="56" spans="1:24">
      <c r="A56" t="s">
        <v>207</v>
      </c>
      <c r="B56" t="s">
        <v>208</v>
      </c>
      <c r="C56" t="s">
        <v>35</v>
      </c>
      <c r="D56">
        <v>2.013</v>
      </c>
      <c r="E56">
        <v>5151</v>
      </c>
      <c r="F56">
        <v>23</v>
      </c>
      <c r="G56" t="s">
        <v>27</v>
      </c>
      <c r="H56" t="s">
        <v>209</v>
      </c>
      <c r="I56" t="s">
        <v>29</v>
      </c>
      <c r="J56" t="s">
        <v>30</v>
      </c>
      <c r="K56" t="s">
        <v>30</v>
      </c>
      <c r="L56" t="s">
        <v>31</v>
      </c>
      <c r="M56" t="s">
        <v>44</v>
      </c>
      <c r="N56">
        <v>4</v>
      </c>
      <c r="O56">
        <v>1</v>
      </c>
      <c r="P56">
        <v>0</v>
      </c>
      <c r="Q56">
        <v>2558.867362146051</v>
      </c>
      <c r="R56">
        <v>11.42573273720815</v>
      </c>
      <c r="S56">
        <v>223.9565217391304</v>
      </c>
      <c r="T56">
        <v>0</v>
      </c>
      <c r="U56">
        <v>1</v>
      </c>
      <c r="V56">
        <v>0</v>
      </c>
      <c r="W56">
        <v>8.54714026778419</v>
      </c>
      <c r="X56">
        <v>0</v>
      </c>
    </row>
    <row r="57" spans="1:24">
      <c r="A57" t="s">
        <v>210</v>
      </c>
      <c r="B57" t="s">
        <v>211</v>
      </c>
      <c r="C57" t="s">
        <v>35</v>
      </c>
      <c r="D57">
        <v>3.582</v>
      </c>
      <c r="E57">
        <v>1190</v>
      </c>
      <c r="F57">
        <v>16</v>
      </c>
      <c r="G57" t="s">
        <v>36</v>
      </c>
      <c r="H57" t="s">
        <v>212</v>
      </c>
      <c r="I57" t="s">
        <v>29</v>
      </c>
      <c r="J57" t="s">
        <v>38</v>
      </c>
      <c r="K57" t="s">
        <v>38</v>
      </c>
      <c r="L57" t="s">
        <v>31</v>
      </c>
      <c r="M57" t="s">
        <v>39</v>
      </c>
      <c r="N57">
        <v>4</v>
      </c>
      <c r="O57">
        <v>1</v>
      </c>
      <c r="P57">
        <v>0</v>
      </c>
      <c r="Q57">
        <v>332.2166387493021</v>
      </c>
      <c r="R57">
        <v>4.46677833612507</v>
      </c>
      <c r="S57">
        <v>74.375</v>
      </c>
      <c r="T57">
        <v>0</v>
      </c>
      <c r="U57">
        <v>1</v>
      </c>
      <c r="V57">
        <v>0</v>
      </c>
      <c r="W57">
        <v>7.0825485693553</v>
      </c>
      <c r="X57">
        <v>0</v>
      </c>
    </row>
    <row r="58" spans="1:24">
      <c r="A58" t="s">
        <v>213</v>
      </c>
      <c r="B58" t="s">
        <v>214</v>
      </c>
      <c r="C58" t="s">
        <v>52</v>
      </c>
      <c r="D58">
        <v>3.594</v>
      </c>
      <c r="E58">
        <v>2960</v>
      </c>
      <c r="F58">
        <v>13</v>
      </c>
      <c r="G58" t="s">
        <v>36</v>
      </c>
      <c r="H58" t="s">
        <v>215</v>
      </c>
      <c r="I58" t="s">
        <v>29</v>
      </c>
      <c r="J58" t="s">
        <v>38</v>
      </c>
      <c r="K58" t="s">
        <v>31</v>
      </c>
      <c r="L58" t="s">
        <v>31</v>
      </c>
      <c r="M58" t="s">
        <v>44</v>
      </c>
      <c r="N58">
        <v>4</v>
      </c>
      <c r="O58">
        <v>1</v>
      </c>
      <c r="P58">
        <v>0</v>
      </c>
      <c r="Q58">
        <v>823.5948803561491</v>
      </c>
      <c r="R58">
        <v>3.617139677239845</v>
      </c>
      <c r="S58">
        <v>227.6923076923077</v>
      </c>
      <c r="T58">
        <v>0</v>
      </c>
      <c r="U58">
        <v>1</v>
      </c>
      <c r="V58">
        <v>0</v>
      </c>
      <c r="W58">
        <v>7.993282328101591</v>
      </c>
      <c r="X58">
        <v>0</v>
      </c>
    </row>
    <row r="59" spans="1:24">
      <c r="A59" t="s">
        <v>216</v>
      </c>
      <c r="B59" t="s">
        <v>217</v>
      </c>
      <c r="C59" t="s">
        <v>26</v>
      </c>
      <c r="D59">
        <v>1.311</v>
      </c>
      <c r="E59">
        <v>1043</v>
      </c>
      <c r="F59">
        <v>13</v>
      </c>
      <c r="G59" t="s">
        <v>27</v>
      </c>
      <c r="H59" t="s">
        <v>218</v>
      </c>
      <c r="I59" t="s">
        <v>29</v>
      </c>
      <c r="J59" t="s">
        <v>30</v>
      </c>
      <c r="K59" t="s">
        <v>38</v>
      </c>
      <c r="L59" t="s">
        <v>31</v>
      </c>
      <c r="M59" t="s">
        <v>32</v>
      </c>
      <c r="N59">
        <v>4</v>
      </c>
      <c r="O59">
        <v>1</v>
      </c>
      <c r="P59">
        <v>0</v>
      </c>
      <c r="Q59">
        <v>795.5758962623952</v>
      </c>
      <c r="R59">
        <v>9.916094584286803</v>
      </c>
      <c r="S59">
        <v>80.23076923076923</v>
      </c>
      <c r="T59">
        <v>0</v>
      </c>
      <c r="U59">
        <v>1</v>
      </c>
      <c r="V59">
        <v>0</v>
      </c>
      <c r="W59">
        <v>6.950814768442584</v>
      </c>
      <c r="X59">
        <v>0</v>
      </c>
    </row>
    <row r="60" spans="1:24">
      <c r="A60" t="s">
        <v>219</v>
      </c>
      <c r="B60" t="s">
        <v>220</v>
      </c>
      <c r="C60" t="s">
        <v>35</v>
      </c>
      <c r="D60">
        <v>1.56</v>
      </c>
      <c r="E60">
        <v>3060</v>
      </c>
      <c r="F60">
        <v>15</v>
      </c>
      <c r="G60" t="s">
        <v>36</v>
      </c>
      <c r="H60" t="s">
        <v>221</v>
      </c>
      <c r="I60" t="s">
        <v>29</v>
      </c>
      <c r="J60" t="s">
        <v>38</v>
      </c>
      <c r="K60" t="s">
        <v>30</v>
      </c>
      <c r="L60" t="s">
        <v>38</v>
      </c>
      <c r="M60" t="s">
        <v>44</v>
      </c>
      <c r="N60">
        <v>4</v>
      </c>
      <c r="O60">
        <v>1</v>
      </c>
      <c r="P60">
        <v>0</v>
      </c>
      <c r="Q60">
        <v>1961.538461538461</v>
      </c>
      <c r="R60">
        <v>9.615384615384617</v>
      </c>
      <c r="S60">
        <v>204</v>
      </c>
      <c r="T60">
        <v>0</v>
      </c>
      <c r="U60">
        <v>1</v>
      </c>
      <c r="V60">
        <v>0</v>
      </c>
      <c r="W60">
        <v>8.026496938945412</v>
      </c>
      <c r="X60">
        <v>0</v>
      </c>
    </row>
    <row r="61" spans="1:24">
      <c r="A61" t="s">
        <v>222</v>
      </c>
      <c r="B61" t="s">
        <v>223</v>
      </c>
      <c r="C61" t="s">
        <v>35</v>
      </c>
      <c r="D61">
        <v>6.517</v>
      </c>
      <c r="E61">
        <v>1929</v>
      </c>
      <c r="F61">
        <v>14</v>
      </c>
      <c r="G61" t="s">
        <v>27</v>
      </c>
      <c r="H61" t="s">
        <v>224</v>
      </c>
      <c r="I61" t="s">
        <v>29</v>
      </c>
      <c r="J61" t="s">
        <v>30</v>
      </c>
      <c r="K61" t="s">
        <v>30</v>
      </c>
      <c r="L61" t="s">
        <v>30</v>
      </c>
      <c r="M61" t="s">
        <v>44</v>
      </c>
      <c r="N61">
        <v>4</v>
      </c>
      <c r="O61">
        <v>1</v>
      </c>
      <c r="P61">
        <v>0</v>
      </c>
      <c r="Q61">
        <v>295.9950897652294</v>
      </c>
      <c r="R61">
        <v>2.148227712137486</v>
      </c>
      <c r="S61">
        <v>137.7857142857143</v>
      </c>
      <c r="T61">
        <v>0</v>
      </c>
      <c r="U61">
        <v>1</v>
      </c>
      <c r="V61">
        <v>0</v>
      </c>
      <c r="W61">
        <v>7.565275281898932</v>
      </c>
      <c r="X61">
        <v>0</v>
      </c>
    </row>
    <row r="62" spans="1:24">
      <c r="A62" t="s">
        <v>225</v>
      </c>
      <c r="B62" t="s">
        <v>226</v>
      </c>
      <c r="C62" t="s">
        <v>130</v>
      </c>
      <c r="D62">
        <v>6.211</v>
      </c>
      <c r="E62">
        <v>226</v>
      </c>
      <c r="F62">
        <v>13</v>
      </c>
      <c r="G62" t="s">
        <v>47</v>
      </c>
      <c r="H62" t="s">
        <v>227</v>
      </c>
      <c r="I62" t="s">
        <v>29</v>
      </c>
      <c r="J62" t="s">
        <v>31</v>
      </c>
      <c r="K62" t="s">
        <v>30</v>
      </c>
      <c r="L62" t="s">
        <v>31</v>
      </c>
      <c r="M62" t="s">
        <v>97</v>
      </c>
      <c r="N62">
        <v>5</v>
      </c>
      <c r="O62">
        <v>1</v>
      </c>
      <c r="P62">
        <v>0</v>
      </c>
      <c r="Q62">
        <v>36.38705522460151</v>
      </c>
      <c r="R62">
        <v>2.093060698760264</v>
      </c>
      <c r="S62">
        <v>17.38461538461538</v>
      </c>
      <c r="T62">
        <v>0</v>
      </c>
      <c r="U62">
        <v>1</v>
      </c>
      <c r="V62">
        <v>0</v>
      </c>
      <c r="W62">
        <v>5.424950017481403</v>
      </c>
      <c r="X62">
        <v>0</v>
      </c>
    </row>
    <row r="63" spans="1:24">
      <c r="A63" t="s">
        <v>228</v>
      </c>
      <c r="B63" t="s">
        <v>229</v>
      </c>
      <c r="C63" t="s">
        <v>35</v>
      </c>
      <c r="D63">
        <v>2.509</v>
      </c>
      <c r="E63">
        <v>6220</v>
      </c>
      <c r="F63">
        <v>17</v>
      </c>
      <c r="G63" t="s">
        <v>27</v>
      </c>
      <c r="H63" t="s">
        <v>230</v>
      </c>
      <c r="I63" t="s">
        <v>29</v>
      </c>
      <c r="J63" t="s">
        <v>30</v>
      </c>
      <c r="K63" t="s">
        <v>30</v>
      </c>
      <c r="L63" t="s">
        <v>30</v>
      </c>
      <c r="M63" t="s">
        <v>39</v>
      </c>
      <c r="N63">
        <v>5</v>
      </c>
      <c r="O63">
        <v>1</v>
      </c>
      <c r="P63">
        <v>0</v>
      </c>
      <c r="Q63">
        <v>2479.075328816261</v>
      </c>
      <c r="R63">
        <v>6.775607811877242</v>
      </c>
      <c r="S63">
        <v>365.8823529411765</v>
      </c>
      <c r="T63">
        <v>0</v>
      </c>
      <c r="U63">
        <v>1</v>
      </c>
      <c r="V63">
        <v>0</v>
      </c>
      <c r="W63">
        <v>8.735685944515019</v>
      </c>
      <c r="X63">
        <v>0</v>
      </c>
    </row>
    <row r="64" spans="1:24">
      <c r="A64" t="s">
        <v>231</v>
      </c>
      <c r="B64" t="s">
        <v>232</v>
      </c>
      <c r="C64" t="s">
        <v>26</v>
      </c>
      <c r="D64">
        <v>2.107</v>
      </c>
      <c r="E64">
        <v>6529</v>
      </c>
      <c r="F64">
        <v>26</v>
      </c>
      <c r="G64" t="s">
        <v>27</v>
      </c>
      <c r="H64" t="s">
        <v>233</v>
      </c>
      <c r="I64" t="s">
        <v>29</v>
      </c>
      <c r="J64" t="s">
        <v>30</v>
      </c>
      <c r="K64" t="s">
        <v>30</v>
      </c>
      <c r="L64" t="s">
        <v>31</v>
      </c>
      <c r="M64" t="s">
        <v>44</v>
      </c>
      <c r="N64">
        <v>5</v>
      </c>
      <c r="O64">
        <v>1</v>
      </c>
      <c r="P64">
        <v>0</v>
      </c>
      <c r="Q64">
        <v>3098.718557190318</v>
      </c>
      <c r="R64">
        <v>12.33981964878975</v>
      </c>
      <c r="S64">
        <v>251.1153846153846</v>
      </c>
      <c r="T64">
        <v>0</v>
      </c>
      <c r="U64">
        <v>1</v>
      </c>
      <c r="V64">
        <v>0</v>
      </c>
      <c r="W64">
        <v>8.784162222270476</v>
      </c>
      <c r="X64">
        <v>0</v>
      </c>
    </row>
    <row r="65" spans="1:24">
      <c r="A65" t="s">
        <v>234</v>
      </c>
      <c r="B65" t="s">
        <v>235</v>
      </c>
      <c r="C65" t="s">
        <v>35</v>
      </c>
      <c r="D65">
        <v>0.665</v>
      </c>
      <c r="E65">
        <v>1644</v>
      </c>
      <c r="F65">
        <v>20</v>
      </c>
      <c r="G65" t="s">
        <v>62</v>
      </c>
      <c r="H65" t="s">
        <v>236</v>
      </c>
      <c r="I65" t="s">
        <v>29</v>
      </c>
      <c r="J65" t="s">
        <v>30</v>
      </c>
      <c r="K65" t="s">
        <v>31</v>
      </c>
      <c r="L65" t="s">
        <v>38</v>
      </c>
      <c r="M65" t="s">
        <v>39</v>
      </c>
      <c r="N65">
        <v>5</v>
      </c>
      <c r="O65">
        <v>1</v>
      </c>
      <c r="P65">
        <v>0</v>
      </c>
      <c r="Q65">
        <v>2472.180451127819</v>
      </c>
      <c r="R65">
        <v>30.07518796992481</v>
      </c>
      <c r="S65">
        <v>82.2</v>
      </c>
      <c r="T65">
        <v>0</v>
      </c>
      <c r="U65">
        <v>1</v>
      </c>
      <c r="V65">
        <v>0</v>
      </c>
      <c r="W65">
        <v>7.405495663199472</v>
      </c>
      <c r="X65">
        <v>0</v>
      </c>
    </row>
    <row r="66" spans="1:24">
      <c r="A66" t="s">
        <v>237</v>
      </c>
      <c r="B66" t="s">
        <v>238</v>
      </c>
      <c r="C66" t="s">
        <v>35</v>
      </c>
      <c r="D66">
        <v>4.078</v>
      </c>
      <c r="E66">
        <v>3317</v>
      </c>
      <c r="F66">
        <v>10</v>
      </c>
      <c r="G66" t="s">
        <v>27</v>
      </c>
      <c r="H66" t="s">
        <v>239</v>
      </c>
      <c r="I66" t="s">
        <v>29</v>
      </c>
      <c r="J66" t="s">
        <v>30</v>
      </c>
      <c r="K66" t="s">
        <v>31</v>
      </c>
      <c r="L66" t="s">
        <v>31</v>
      </c>
      <c r="M66" t="s">
        <v>97</v>
      </c>
      <c r="N66">
        <v>5</v>
      </c>
      <c r="O66">
        <v>1</v>
      </c>
      <c r="P66">
        <v>0</v>
      </c>
      <c r="Q66">
        <v>813.3889161353604</v>
      </c>
      <c r="R66">
        <v>2.452182442373712</v>
      </c>
      <c r="S66">
        <v>331.7</v>
      </c>
      <c r="T66">
        <v>0</v>
      </c>
      <c r="U66">
        <v>1</v>
      </c>
      <c r="V66">
        <v>0</v>
      </c>
      <c r="W66">
        <v>8.10711747075039</v>
      </c>
      <c r="X66">
        <v>0</v>
      </c>
    </row>
    <row r="67" spans="1:24">
      <c r="A67" t="s">
        <v>240</v>
      </c>
      <c r="B67" t="s">
        <v>241</v>
      </c>
      <c r="C67" t="s">
        <v>35</v>
      </c>
      <c r="D67">
        <v>4.514</v>
      </c>
      <c r="E67">
        <v>2285</v>
      </c>
      <c r="F67">
        <v>18</v>
      </c>
      <c r="G67" t="s">
        <v>62</v>
      </c>
      <c r="H67" t="s">
        <v>242</v>
      </c>
      <c r="I67" t="s">
        <v>29</v>
      </c>
      <c r="J67" t="s">
        <v>30</v>
      </c>
      <c r="K67" t="s">
        <v>30</v>
      </c>
      <c r="L67" t="s">
        <v>30</v>
      </c>
      <c r="M67" t="s">
        <v>76</v>
      </c>
      <c r="N67">
        <v>5</v>
      </c>
      <c r="O67">
        <v>1</v>
      </c>
      <c r="P67">
        <v>0</v>
      </c>
      <c r="Q67">
        <v>506.2029242357111</v>
      </c>
      <c r="R67">
        <v>3.987594151528578</v>
      </c>
      <c r="S67">
        <v>126.9444444444444</v>
      </c>
      <c r="T67">
        <v>0</v>
      </c>
      <c r="U67">
        <v>1</v>
      </c>
      <c r="V67">
        <v>0</v>
      </c>
      <c r="W67">
        <v>7.734558844354756</v>
      </c>
      <c r="X67">
        <v>0</v>
      </c>
    </row>
    <row r="68" spans="1:24">
      <c r="A68" t="s">
        <v>243</v>
      </c>
      <c r="B68" t="s">
        <v>244</v>
      </c>
      <c r="C68" t="s">
        <v>26</v>
      </c>
      <c r="D68">
        <v>3.628</v>
      </c>
      <c r="E68">
        <v>8419</v>
      </c>
      <c r="F68">
        <v>17</v>
      </c>
      <c r="G68" t="s">
        <v>62</v>
      </c>
      <c r="H68" t="s">
        <v>245</v>
      </c>
      <c r="I68" t="s">
        <v>29</v>
      </c>
      <c r="J68" t="s">
        <v>30</v>
      </c>
      <c r="K68" t="s">
        <v>31</v>
      </c>
      <c r="L68" t="s">
        <v>31</v>
      </c>
      <c r="M68" t="s">
        <v>32</v>
      </c>
      <c r="N68">
        <v>5</v>
      </c>
      <c r="O68">
        <v>1</v>
      </c>
      <c r="P68">
        <v>0</v>
      </c>
      <c r="Q68">
        <v>2320.562293274531</v>
      </c>
      <c r="R68">
        <v>4.685777287761852</v>
      </c>
      <c r="S68">
        <v>495.2352941176471</v>
      </c>
      <c r="T68">
        <v>0</v>
      </c>
      <c r="U68">
        <v>1</v>
      </c>
      <c r="V68">
        <v>0</v>
      </c>
      <c r="W68">
        <v>9.038365107236372</v>
      </c>
      <c r="X68">
        <v>0</v>
      </c>
    </row>
    <row r="69" spans="1:24">
      <c r="A69" t="s">
        <v>246</v>
      </c>
      <c r="B69" t="s">
        <v>247</v>
      </c>
      <c r="C69" t="s">
        <v>26</v>
      </c>
      <c r="D69">
        <v>2.728</v>
      </c>
      <c r="E69">
        <v>1573</v>
      </c>
      <c r="F69">
        <v>12</v>
      </c>
      <c r="G69" t="s">
        <v>27</v>
      </c>
      <c r="H69" t="s">
        <v>248</v>
      </c>
      <c r="I69" t="s">
        <v>29</v>
      </c>
      <c r="J69" t="s">
        <v>30</v>
      </c>
      <c r="K69" t="s">
        <v>30</v>
      </c>
      <c r="L69" t="s">
        <v>31</v>
      </c>
      <c r="M69" t="s">
        <v>44</v>
      </c>
      <c r="N69">
        <v>5</v>
      </c>
      <c r="O69">
        <v>1</v>
      </c>
      <c r="P69">
        <v>0</v>
      </c>
      <c r="Q69">
        <v>576.6129032258065</v>
      </c>
      <c r="R69">
        <v>4.39882697947214</v>
      </c>
      <c r="S69">
        <v>131.0833333333333</v>
      </c>
      <c r="T69">
        <v>0</v>
      </c>
      <c r="U69">
        <v>1</v>
      </c>
      <c r="V69">
        <v>0</v>
      </c>
      <c r="W69">
        <v>7.361375428977347</v>
      </c>
      <c r="X69">
        <v>0</v>
      </c>
    </row>
    <row r="70" spans="1:24">
      <c r="A70" t="s">
        <v>249</v>
      </c>
      <c r="B70" t="s">
        <v>250</v>
      </c>
      <c r="C70" t="s">
        <v>35</v>
      </c>
      <c r="D70">
        <v>3.532</v>
      </c>
      <c r="E70">
        <v>4367</v>
      </c>
      <c r="F70">
        <v>15</v>
      </c>
      <c r="G70" t="s">
        <v>47</v>
      </c>
      <c r="H70" t="s">
        <v>251</v>
      </c>
      <c r="I70" t="s">
        <v>29</v>
      </c>
      <c r="J70" t="s">
        <v>31</v>
      </c>
      <c r="K70" t="s">
        <v>31</v>
      </c>
      <c r="L70" t="s">
        <v>31</v>
      </c>
      <c r="M70" t="s">
        <v>97</v>
      </c>
      <c r="N70">
        <v>5</v>
      </c>
      <c r="O70">
        <v>1</v>
      </c>
      <c r="P70">
        <v>0</v>
      </c>
      <c r="Q70">
        <v>1236.409966024915</v>
      </c>
      <c r="R70">
        <v>4.246885617214043</v>
      </c>
      <c r="S70">
        <v>291.1333333333333</v>
      </c>
      <c r="T70">
        <v>0</v>
      </c>
      <c r="U70">
        <v>1</v>
      </c>
      <c r="V70">
        <v>0</v>
      </c>
      <c r="W70">
        <v>8.38206051742474</v>
      </c>
      <c r="X70">
        <v>0</v>
      </c>
    </row>
    <row r="71" spans="1:24">
      <c r="A71" t="s">
        <v>252</v>
      </c>
      <c r="B71" t="s">
        <v>253</v>
      </c>
      <c r="C71" t="s">
        <v>35</v>
      </c>
      <c r="D71">
        <v>7.564</v>
      </c>
      <c r="E71">
        <v>2862</v>
      </c>
      <c r="F71">
        <v>14</v>
      </c>
      <c r="G71" t="s">
        <v>27</v>
      </c>
      <c r="H71" t="s">
        <v>254</v>
      </c>
      <c r="I71" t="s">
        <v>29</v>
      </c>
      <c r="J71" t="s">
        <v>30</v>
      </c>
      <c r="K71" t="s">
        <v>31</v>
      </c>
      <c r="L71" t="s">
        <v>30</v>
      </c>
      <c r="M71" t="s">
        <v>32</v>
      </c>
      <c r="N71">
        <v>5</v>
      </c>
      <c r="O71">
        <v>1</v>
      </c>
      <c r="P71">
        <v>0</v>
      </c>
      <c r="Q71">
        <v>378.3712321523004</v>
      </c>
      <c r="R71">
        <v>1.850872554204125</v>
      </c>
      <c r="S71">
        <v>204.4285714285714</v>
      </c>
      <c r="T71">
        <v>0</v>
      </c>
      <c r="U71">
        <v>1</v>
      </c>
      <c r="V71">
        <v>0</v>
      </c>
      <c r="W71">
        <v>7.959625305098115</v>
      </c>
      <c r="X71">
        <v>0</v>
      </c>
    </row>
    <row r="72" spans="1:24">
      <c r="A72" t="s">
        <v>255</v>
      </c>
      <c r="B72" t="s">
        <v>256</v>
      </c>
      <c r="C72" t="s">
        <v>26</v>
      </c>
      <c r="D72">
        <v>0.541</v>
      </c>
      <c r="E72">
        <v>1150</v>
      </c>
      <c r="F72">
        <v>15</v>
      </c>
      <c r="G72" t="s">
        <v>27</v>
      </c>
      <c r="H72" t="s">
        <v>257</v>
      </c>
      <c r="I72" t="s">
        <v>29</v>
      </c>
      <c r="J72" t="s">
        <v>30</v>
      </c>
      <c r="K72" t="s">
        <v>31</v>
      </c>
      <c r="L72" t="s">
        <v>30</v>
      </c>
      <c r="M72" t="s">
        <v>76</v>
      </c>
      <c r="N72">
        <v>5</v>
      </c>
      <c r="O72">
        <v>1</v>
      </c>
      <c r="P72">
        <v>0</v>
      </c>
      <c r="Q72">
        <v>2125.693160813309</v>
      </c>
      <c r="R72">
        <v>27.72643253234751</v>
      </c>
      <c r="S72">
        <v>76.66666666666667</v>
      </c>
      <c r="T72">
        <v>0</v>
      </c>
      <c r="U72">
        <v>1</v>
      </c>
      <c r="V72">
        <v>0</v>
      </c>
      <c r="W72">
        <v>7.048386408721883</v>
      </c>
      <c r="X72">
        <v>0</v>
      </c>
    </row>
    <row r="73" spans="1:24">
      <c r="A73" t="s">
        <v>258</v>
      </c>
      <c r="B73" t="s">
        <v>259</v>
      </c>
      <c r="C73" t="s">
        <v>26</v>
      </c>
      <c r="D73">
        <v>1.747</v>
      </c>
      <c r="E73">
        <v>3277</v>
      </c>
      <c r="F73">
        <v>15</v>
      </c>
      <c r="G73" t="s">
        <v>36</v>
      </c>
      <c r="H73" t="s">
        <v>260</v>
      </c>
      <c r="I73" t="s">
        <v>29</v>
      </c>
      <c r="J73" t="s">
        <v>38</v>
      </c>
      <c r="K73" t="s">
        <v>30</v>
      </c>
      <c r="L73" t="s">
        <v>30</v>
      </c>
      <c r="M73" t="s">
        <v>97</v>
      </c>
      <c r="N73">
        <v>5</v>
      </c>
      <c r="O73">
        <v>1</v>
      </c>
      <c r="P73">
        <v>0</v>
      </c>
      <c r="Q73">
        <v>1875.787063537493</v>
      </c>
      <c r="R73">
        <v>8.586147681740126</v>
      </c>
      <c r="S73">
        <v>218.4666666666667</v>
      </c>
      <c r="T73">
        <v>0</v>
      </c>
      <c r="U73">
        <v>1</v>
      </c>
      <c r="V73">
        <v>0</v>
      </c>
      <c r="W73">
        <v>8.094988759303774</v>
      </c>
      <c r="X73">
        <v>0</v>
      </c>
    </row>
    <row r="74" spans="1:24">
      <c r="A74" t="s">
        <v>261</v>
      </c>
      <c r="B74" t="s">
        <v>262</v>
      </c>
      <c r="C74" t="s">
        <v>35</v>
      </c>
      <c r="D74">
        <v>0.984</v>
      </c>
      <c r="E74">
        <v>4050</v>
      </c>
      <c r="F74">
        <v>21</v>
      </c>
      <c r="G74" t="s">
        <v>47</v>
      </c>
      <c r="H74" t="s">
        <v>263</v>
      </c>
      <c r="I74" t="s">
        <v>29</v>
      </c>
      <c r="J74" t="s">
        <v>31</v>
      </c>
      <c r="K74" t="s">
        <v>31</v>
      </c>
      <c r="L74" t="s">
        <v>30</v>
      </c>
      <c r="M74" t="s">
        <v>32</v>
      </c>
      <c r="N74">
        <v>6</v>
      </c>
      <c r="O74">
        <v>1</v>
      </c>
      <c r="P74">
        <v>0</v>
      </c>
      <c r="Q74">
        <v>4115.853658536585</v>
      </c>
      <c r="R74">
        <v>21.34146341463415</v>
      </c>
      <c r="S74">
        <v>192.8571428571429</v>
      </c>
      <c r="T74">
        <v>0</v>
      </c>
      <c r="U74">
        <v>0</v>
      </c>
      <c r="V74">
        <v>0</v>
      </c>
      <c r="W74">
        <v>8.306719043202691</v>
      </c>
      <c r="X74">
        <v>0</v>
      </c>
    </row>
    <row r="75" spans="1:24">
      <c r="A75" t="s">
        <v>264</v>
      </c>
      <c r="B75" t="s">
        <v>265</v>
      </c>
      <c r="C75" t="s">
        <v>26</v>
      </c>
      <c r="D75">
        <v>2.816</v>
      </c>
      <c r="E75">
        <v>4951</v>
      </c>
      <c r="F75">
        <v>15</v>
      </c>
      <c r="G75" t="s">
        <v>27</v>
      </c>
      <c r="H75" t="s">
        <v>266</v>
      </c>
      <c r="I75" t="s">
        <v>29</v>
      </c>
      <c r="J75" t="s">
        <v>30</v>
      </c>
      <c r="K75" t="s">
        <v>30</v>
      </c>
      <c r="L75" t="s">
        <v>31</v>
      </c>
      <c r="M75" t="s">
        <v>39</v>
      </c>
      <c r="N75">
        <v>6</v>
      </c>
      <c r="O75">
        <v>1</v>
      </c>
      <c r="P75">
        <v>0</v>
      </c>
      <c r="Q75">
        <v>1758.167613636364</v>
      </c>
      <c r="R75">
        <v>5.326704545454546</v>
      </c>
      <c r="S75">
        <v>330.0666666666667</v>
      </c>
      <c r="T75">
        <v>0</v>
      </c>
      <c r="U75">
        <v>0</v>
      </c>
      <c r="V75">
        <v>0</v>
      </c>
      <c r="W75">
        <v>8.507546814364431</v>
      </c>
      <c r="X75">
        <v>0</v>
      </c>
    </row>
    <row r="76" spans="1:24">
      <c r="A76" t="s">
        <v>267</v>
      </c>
      <c r="B76" t="s">
        <v>268</v>
      </c>
      <c r="C76" t="s">
        <v>26</v>
      </c>
      <c r="D76">
        <v>3.36</v>
      </c>
      <c r="E76">
        <v>11420</v>
      </c>
      <c r="F76">
        <v>50</v>
      </c>
      <c r="G76" t="s">
        <v>27</v>
      </c>
      <c r="H76" t="s">
        <v>269</v>
      </c>
      <c r="I76" t="s">
        <v>49</v>
      </c>
      <c r="J76" t="s">
        <v>30</v>
      </c>
      <c r="K76" t="s">
        <v>30</v>
      </c>
      <c r="L76" t="s">
        <v>31</v>
      </c>
      <c r="M76" t="s">
        <v>97</v>
      </c>
      <c r="N76">
        <v>6</v>
      </c>
      <c r="O76">
        <v>1</v>
      </c>
      <c r="P76">
        <v>0</v>
      </c>
      <c r="Q76">
        <v>3398.809523809524</v>
      </c>
      <c r="R76">
        <v>14.88095238095238</v>
      </c>
      <c r="S76">
        <v>228.4</v>
      </c>
      <c r="T76">
        <v>0</v>
      </c>
      <c r="U76">
        <v>0</v>
      </c>
      <c r="V76">
        <v>1</v>
      </c>
      <c r="W76">
        <v>9.343209045050608</v>
      </c>
      <c r="X76">
        <v>1</v>
      </c>
    </row>
    <row r="77" spans="1:24">
      <c r="A77" t="s">
        <v>270</v>
      </c>
      <c r="B77" t="s">
        <v>271</v>
      </c>
      <c r="C77" t="s">
        <v>35</v>
      </c>
      <c r="D77">
        <v>3.645</v>
      </c>
      <c r="E77">
        <v>2119</v>
      </c>
      <c r="F77">
        <v>14</v>
      </c>
      <c r="G77" t="s">
        <v>36</v>
      </c>
      <c r="H77" t="s">
        <v>272</v>
      </c>
      <c r="I77" t="s">
        <v>29</v>
      </c>
      <c r="J77" t="s">
        <v>38</v>
      </c>
      <c r="K77" t="s">
        <v>30</v>
      </c>
      <c r="L77" t="s">
        <v>30</v>
      </c>
      <c r="M77" t="s">
        <v>97</v>
      </c>
      <c r="N77">
        <v>6</v>
      </c>
      <c r="O77">
        <v>1</v>
      </c>
      <c r="P77">
        <v>0</v>
      </c>
      <c r="Q77">
        <v>581.3443072702332</v>
      </c>
      <c r="R77">
        <v>3.840877914951989</v>
      </c>
      <c r="S77">
        <v>151.3571428571429</v>
      </c>
      <c r="T77">
        <v>0</v>
      </c>
      <c r="U77">
        <v>0</v>
      </c>
      <c r="V77">
        <v>0</v>
      </c>
      <c r="W77">
        <v>7.659171367666058</v>
      </c>
      <c r="X77">
        <v>0</v>
      </c>
    </row>
    <row r="78" spans="1:24">
      <c r="A78" t="s">
        <v>273</v>
      </c>
      <c r="B78" t="s">
        <v>274</v>
      </c>
      <c r="C78" t="s">
        <v>26</v>
      </c>
      <c r="D78">
        <v>2.913</v>
      </c>
      <c r="E78">
        <v>4064</v>
      </c>
      <c r="F78">
        <v>19</v>
      </c>
      <c r="G78" t="s">
        <v>47</v>
      </c>
      <c r="H78" t="s">
        <v>275</v>
      </c>
      <c r="I78" t="s">
        <v>29</v>
      </c>
      <c r="J78" t="s">
        <v>31</v>
      </c>
      <c r="K78" t="s">
        <v>31</v>
      </c>
      <c r="L78" t="s">
        <v>30</v>
      </c>
      <c r="M78" t="s">
        <v>76</v>
      </c>
      <c r="N78">
        <v>6</v>
      </c>
      <c r="O78">
        <v>1</v>
      </c>
      <c r="P78">
        <v>0</v>
      </c>
      <c r="Q78">
        <v>1395.125300377618</v>
      </c>
      <c r="R78">
        <v>6.522485410230004</v>
      </c>
      <c r="S78">
        <v>213.8947368421053</v>
      </c>
      <c r="T78">
        <v>0</v>
      </c>
      <c r="U78">
        <v>0</v>
      </c>
      <c r="V78">
        <v>0</v>
      </c>
      <c r="W78">
        <v>8.310169021981912</v>
      </c>
      <c r="X78">
        <v>0</v>
      </c>
    </row>
    <row r="79" spans="1:24">
      <c r="A79" t="s">
        <v>276</v>
      </c>
      <c r="B79" t="s">
        <v>277</v>
      </c>
      <c r="C79" t="s">
        <v>35</v>
      </c>
      <c r="D79">
        <v>2.997</v>
      </c>
      <c r="E79">
        <v>3344</v>
      </c>
      <c r="F79">
        <v>20</v>
      </c>
      <c r="G79" t="s">
        <v>27</v>
      </c>
      <c r="H79" t="s">
        <v>278</v>
      </c>
      <c r="I79" t="s">
        <v>29</v>
      </c>
      <c r="J79" t="s">
        <v>30</v>
      </c>
      <c r="K79" t="s">
        <v>38</v>
      </c>
      <c r="L79" t="s">
        <v>31</v>
      </c>
      <c r="M79" t="s">
        <v>44</v>
      </c>
      <c r="N79">
        <v>6</v>
      </c>
      <c r="O79">
        <v>1</v>
      </c>
      <c r="P79">
        <v>0</v>
      </c>
      <c r="Q79">
        <v>1115.782449115783</v>
      </c>
      <c r="R79">
        <v>6.673340006673341</v>
      </c>
      <c r="S79">
        <v>167.2</v>
      </c>
      <c r="T79">
        <v>0</v>
      </c>
      <c r="U79">
        <v>0</v>
      </c>
      <c r="V79">
        <v>0</v>
      </c>
      <c r="W79">
        <v>8.115221972562329</v>
      </c>
      <c r="X79">
        <v>0</v>
      </c>
    </row>
    <row r="80" spans="1:24">
      <c r="A80" t="s">
        <v>279</v>
      </c>
      <c r="B80" t="s">
        <v>280</v>
      </c>
      <c r="C80" t="s">
        <v>35</v>
      </c>
      <c r="D80">
        <v>8.272</v>
      </c>
      <c r="E80">
        <v>7887</v>
      </c>
      <c r="F80">
        <v>20</v>
      </c>
      <c r="G80" t="s">
        <v>62</v>
      </c>
      <c r="H80" t="s">
        <v>281</v>
      </c>
      <c r="I80" t="s">
        <v>29</v>
      </c>
      <c r="J80" t="s">
        <v>30</v>
      </c>
      <c r="K80" t="s">
        <v>31</v>
      </c>
      <c r="L80" t="s">
        <v>38</v>
      </c>
      <c r="M80" t="s">
        <v>44</v>
      </c>
      <c r="N80">
        <v>6</v>
      </c>
      <c r="O80">
        <v>1</v>
      </c>
      <c r="P80">
        <v>0</v>
      </c>
      <c r="Q80">
        <v>953.4574468085106</v>
      </c>
      <c r="R80">
        <v>2.41779497098646</v>
      </c>
      <c r="S80">
        <v>394.35</v>
      </c>
      <c r="T80">
        <v>0</v>
      </c>
      <c r="U80">
        <v>0</v>
      </c>
      <c r="V80">
        <v>0</v>
      </c>
      <c r="W80">
        <v>8.973097896282471</v>
      </c>
      <c r="X80">
        <v>0</v>
      </c>
    </row>
    <row r="81" spans="1:24">
      <c r="A81" t="s">
        <v>282</v>
      </c>
      <c r="B81" t="s">
        <v>283</v>
      </c>
      <c r="C81" t="s">
        <v>35</v>
      </c>
      <c r="D81">
        <v>3.483</v>
      </c>
      <c r="E81">
        <v>2730</v>
      </c>
      <c r="F81">
        <v>13</v>
      </c>
      <c r="G81" t="s">
        <v>47</v>
      </c>
      <c r="H81" t="s">
        <v>284</v>
      </c>
      <c r="I81" t="s">
        <v>29</v>
      </c>
      <c r="J81" t="s">
        <v>31</v>
      </c>
      <c r="K81" t="s">
        <v>30</v>
      </c>
      <c r="L81" t="s">
        <v>31</v>
      </c>
      <c r="M81" t="s">
        <v>97</v>
      </c>
      <c r="N81">
        <v>6</v>
      </c>
      <c r="O81">
        <v>1</v>
      </c>
      <c r="P81">
        <v>0</v>
      </c>
      <c r="Q81">
        <v>783.8070628768303</v>
      </c>
      <c r="R81">
        <v>3.732414585127764</v>
      </c>
      <c r="S81">
        <v>210</v>
      </c>
      <c r="T81">
        <v>0</v>
      </c>
      <c r="U81">
        <v>0</v>
      </c>
      <c r="V81">
        <v>0</v>
      </c>
      <c r="W81">
        <v>7.912423121473705</v>
      </c>
      <c r="X81">
        <v>0</v>
      </c>
    </row>
    <row r="82" spans="1:24">
      <c r="A82" t="s">
        <v>285</v>
      </c>
      <c r="B82" t="s">
        <v>286</v>
      </c>
      <c r="C82" t="s">
        <v>26</v>
      </c>
      <c r="D82">
        <v>13.477</v>
      </c>
      <c r="E82">
        <v>6767</v>
      </c>
      <c r="F82">
        <v>23</v>
      </c>
      <c r="G82" t="s">
        <v>62</v>
      </c>
      <c r="H82" t="s">
        <v>287</v>
      </c>
      <c r="I82" t="s">
        <v>29</v>
      </c>
      <c r="J82" t="s">
        <v>30</v>
      </c>
      <c r="K82" t="s">
        <v>30</v>
      </c>
      <c r="L82" t="s">
        <v>31</v>
      </c>
      <c r="M82" t="s">
        <v>97</v>
      </c>
      <c r="N82">
        <v>6</v>
      </c>
      <c r="O82">
        <v>1</v>
      </c>
      <c r="P82">
        <v>0</v>
      </c>
      <c r="Q82">
        <v>502.1147139571121</v>
      </c>
      <c r="R82">
        <v>1.70661126363434</v>
      </c>
      <c r="S82">
        <v>294.2173913043478</v>
      </c>
      <c r="T82">
        <v>0</v>
      </c>
      <c r="U82">
        <v>0</v>
      </c>
      <c r="V82">
        <v>0</v>
      </c>
      <c r="W82">
        <v>8.819960901286059</v>
      </c>
      <c r="X82">
        <v>0</v>
      </c>
    </row>
    <row r="83" spans="1:24">
      <c r="A83" t="s">
        <v>288</v>
      </c>
      <c r="B83" t="s">
        <v>289</v>
      </c>
      <c r="C83" t="s">
        <v>35</v>
      </c>
      <c r="D83">
        <v>1.154</v>
      </c>
      <c r="E83">
        <v>5850</v>
      </c>
      <c r="F83">
        <v>19</v>
      </c>
      <c r="G83" t="s">
        <v>36</v>
      </c>
      <c r="H83" t="s">
        <v>290</v>
      </c>
      <c r="I83" t="s">
        <v>29</v>
      </c>
      <c r="J83" t="s">
        <v>38</v>
      </c>
      <c r="K83" t="s">
        <v>31</v>
      </c>
      <c r="L83" t="s">
        <v>38</v>
      </c>
      <c r="M83" t="s">
        <v>97</v>
      </c>
      <c r="N83">
        <v>6</v>
      </c>
      <c r="O83">
        <v>1</v>
      </c>
      <c r="P83">
        <v>0</v>
      </c>
      <c r="Q83">
        <v>5069.324090121318</v>
      </c>
      <c r="R83">
        <v>16.46447140381283</v>
      </c>
      <c r="S83">
        <v>307.8947368421053</v>
      </c>
      <c r="T83">
        <v>0</v>
      </c>
      <c r="U83">
        <v>0</v>
      </c>
      <c r="V83">
        <v>0</v>
      </c>
      <c r="W83">
        <v>8.674367865788236</v>
      </c>
      <c r="X83">
        <v>0</v>
      </c>
    </row>
    <row r="84" spans="1:24">
      <c r="A84" t="s">
        <v>291</v>
      </c>
      <c r="B84" t="s">
        <v>292</v>
      </c>
      <c r="C84" t="s">
        <v>52</v>
      </c>
      <c r="D84">
        <v>0.159</v>
      </c>
      <c r="E84">
        <v>1736</v>
      </c>
      <c r="F84">
        <v>2</v>
      </c>
      <c r="G84" t="s">
        <v>36</v>
      </c>
      <c r="H84" t="s">
        <v>293</v>
      </c>
      <c r="I84" t="s">
        <v>90</v>
      </c>
      <c r="J84" t="s">
        <v>38</v>
      </c>
      <c r="K84" t="s">
        <v>30</v>
      </c>
      <c r="L84" t="s">
        <v>31</v>
      </c>
      <c r="M84" t="s">
        <v>97</v>
      </c>
      <c r="N84">
        <v>6</v>
      </c>
      <c r="O84">
        <v>1</v>
      </c>
      <c r="P84">
        <v>0</v>
      </c>
      <c r="Q84">
        <v>10918.23899371069</v>
      </c>
      <c r="R84">
        <v>12.57861635220126</v>
      </c>
      <c r="S84">
        <v>868</v>
      </c>
      <c r="T84">
        <v>0</v>
      </c>
      <c r="U84">
        <v>0</v>
      </c>
      <c r="V84">
        <v>0</v>
      </c>
      <c r="W84">
        <v>7.459914766241105</v>
      </c>
      <c r="X84">
        <v>1</v>
      </c>
    </row>
    <row r="85" spans="1:24">
      <c r="A85" t="s">
        <v>294</v>
      </c>
      <c r="B85" t="s">
        <v>295</v>
      </c>
      <c r="C85" t="s">
        <v>35</v>
      </c>
      <c r="D85">
        <v>4.149</v>
      </c>
      <c r="E85">
        <v>1656</v>
      </c>
      <c r="F85">
        <v>21</v>
      </c>
      <c r="G85" t="s">
        <v>27</v>
      </c>
      <c r="H85" t="s">
        <v>296</v>
      </c>
      <c r="I85" t="s">
        <v>29</v>
      </c>
      <c r="J85" t="s">
        <v>30</v>
      </c>
      <c r="K85" t="s">
        <v>30</v>
      </c>
      <c r="L85" t="s">
        <v>30</v>
      </c>
      <c r="M85" t="s">
        <v>44</v>
      </c>
      <c r="N85">
        <v>6</v>
      </c>
      <c r="O85">
        <v>1</v>
      </c>
      <c r="P85">
        <v>0</v>
      </c>
      <c r="Q85">
        <v>399.1323210412148</v>
      </c>
      <c r="R85">
        <v>5.061460592913956</v>
      </c>
      <c r="S85">
        <v>78.85714285714286</v>
      </c>
      <c r="T85">
        <v>0</v>
      </c>
      <c r="U85">
        <v>0</v>
      </c>
      <c r="V85">
        <v>0</v>
      </c>
      <c r="W85">
        <v>7.412764017426562</v>
      </c>
      <c r="X85">
        <v>0</v>
      </c>
    </row>
    <row r="86" spans="1:24">
      <c r="A86" t="s">
        <v>297</v>
      </c>
      <c r="B86" t="s">
        <v>298</v>
      </c>
      <c r="C86" t="s">
        <v>26</v>
      </c>
      <c r="D86">
        <v>4.529</v>
      </c>
      <c r="E86">
        <v>1630</v>
      </c>
      <c r="F86">
        <v>20</v>
      </c>
      <c r="G86" t="s">
        <v>62</v>
      </c>
      <c r="H86" t="s">
        <v>299</v>
      </c>
      <c r="I86" t="s">
        <v>29</v>
      </c>
      <c r="J86" t="s">
        <v>30</v>
      </c>
      <c r="K86" t="s">
        <v>38</v>
      </c>
      <c r="L86" t="s">
        <v>38</v>
      </c>
      <c r="M86" t="s">
        <v>97</v>
      </c>
      <c r="N86">
        <v>7</v>
      </c>
      <c r="O86">
        <v>1</v>
      </c>
      <c r="P86">
        <v>0</v>
      </c>
      <c r="Q86">
        <v>359.9028483108854</v>
      </c>
      <c r="R86">
        <v>4.41598586884522</v>
      </c>
      <c r="S86">
        <v>81.5</v>
      </c>
      <c r="T86">
        <v>0</v>
      </c>
      <c r="U86">
        <v>0</v>
      </c>
      <c r="V86">
        <v>0</v>
      </c>
      <c r="W86">
        <v>7.396948602621014</v>
      </c>
      <c r="X86">
        <v>0</v>
      </c>
    </row>
    <row r="87" spans="1:24">
      <c r="A87" t="s">
        <v>300</v>
      </c>
      <c r="B87" t="s">
        <v>301</v>
      </c>
      <c r="C87" t="s">
        <v>26</v>
      </c>
      <c r="D87">
        <v>2.955</v>
      </c>
      <c r="E87">
        <v>2620</v>
      </c>
      <c r="F87">
        <v>11</v>
      </c>
      <c r="G87" t="s">
        <v>27</v>
      </c>
      <c r="H87" t="s">
        <v>302</v>
      </c>
      <c r="I87" t="s">
        <v>29</v>
      </c>
      <c r="J87" t="s">
        <v>30</v>
      </c>
      <c r="K87" t="s">
        <v>38</v>
      </c>
      <c r="L87" t="s">
        <v>30</v>
      </c>
      <c r="M87" t="s">
        <v>97</v>
      </c>
      <c r="N87">
        <v>7</v>
      </c>
      <c r="O87">
        <v>1</v>
      </c>
      <c r="P87">
        <v>0</v>
      </c>
      <c r="Q87">
        <v>886.6328257191201</v>
      </c>
      <c r="R87">
        <v>3.722504230118443</v>
      </c>
      <c r="S87">
        <v>238.1818181818182</v>
      </c>
      <c r="T87">
        <v>0</v>
      </c>
      <c r="U87">
        <v>0</v>
      </c>
      <c r="V87">
        <v>0</v>
      </c>
      <c r="W87">
        <v>7.871311203323407</v>
      </c>
      <c r="X87">
        <v>0</v>
      </c>
    </row>
    <row r="88" spans="1:24">
      <c r="A88" t="s">
        <v>303</v>
      </c>
      <c r="B88" t="s">
        <v>304</v>
      </c>
      <c r="C88" t="s">
        <v>35</v>
      </c>
      <c r="D88">
        <v>7.678</v>
      </c>
      <c r="E88">
        <v>1304</v>
      </c>
      <c r="F88">
        <v>12</v>
      </c>
      <c r="G88" t="s">
        <v>27</v>
      </c>
      <c r="H88" t="s">
        <v>305</v>
      </c>
      <c r="I88" t="s">
        <v>29</v>
      </c>
      <c r="J88" t="s">
        <v>30</v>
      </c>
      <c r="K88" t="s">
        <v>30</v>
      </c>
      <c r="L88" t="s">
        <v>31</v>
      </c>
      <c r="M88" t="s">
        <v>44</v>
      </c>
      <c r="N88">
        <v>7</v>
      </c>
      <c r="O88">
        <v>1</v>
      </c>
      <c r="P88">
        <v>0</v>
      </c>
      <c r="Q88">
        <v>169.8358947642615</v>
      </c>
      <c r="R88">
        <v>1.562907007033081</v>
      </c>
      <c r="S88">
        <v>108.6666666666667</v>
      </c>
      <c r="T88">
        <v>0</v>
      </c>
      <c r="U88">
        <v>0</v>
      </c>
      <c r="V88">
        <v>0</v>
      </c>
      <c r="W88">
        <v>7.173958319756794</v>
      </c>
      <c r="X88">
        <v>0</v>
      </c>
    </row>
    <row r="89" spans="1:24">
      <c r="A89" t="s">
        <v>306</v>
      </c>
      <c r="B89" t="s">
        <v>307</v>
      </c>
      <c r="C89" t="s">
        <v>130</v>
      </c>
      <c r="D89">
        <v>3.131</v>
      </c>
      <c r="E89">
        <v>434</v>
      </c>
      <c r="F89">
        <v>11</v>
      </c>
      <c r="G89" t="s">
        <v>27</v>
      </c>
      <c r="H89" t="s">
        <v>308</v>
      </c>
      <c r="I89" t="s">
        <v>29</v>
      </c>
      <c r="J89" t="s">
        <v>30</v>
      </c>
      <c r="K89" t="s">
        <v>31</v>
      </c>
      <c r="L89" t="s">
        <v>30</v>
      </c>
      <c r="M89" t="s">
        <v>32</v>
      </c>
      <c r="N89">
        <v>7</v>
      </c>
      <c r="O89">
        <v>1</v>
      </c>
      <c r="P89">
        <v>0</v>
      </c>
      <c r="Q89">
        <v>138.6138613861386</v>
      </c>
      <c r="R89">
        <v>3.513254551261578</v>
      </c>
      <c r="S89">
        <v>39.45454545454545</v>
      </c>
      <c r="T89">
        <v>0</v>
      </c>
      <c r="U89">
        <v>0</v>
      </c>
      <c r="V89">
        <v>0</v>
      </c>
      <c r="W89">
        <v>6.075346031088684</v>
      </c>
      <c r="X89">
        <v>0</v>
      </c>
    </row>
    <row r="90" spans="1:24">
      <c r="A90" t="s">
        <v>309</v>
      </c>
      <c r="B90" t="s">
        <v>310</v>
      </c>
      <c r="C90" t="s">
        <v>35</v>
      </c>
      <c r="D90">
        <v>3.186</v>
      </c>
      <c r="E90">
        <v>2795</v>
      </c>
      <c r="F90">
        <v>27</v>
      </c>
      <c r="G90" t="s">
        <v>47</v>
      </c>
      <c r="H90" t="s">
        <v>311</v>
      </c>
      <c r="I90" t="s">
        <v>29</v>
      </c>
      <c r="J90" t="s">
        <v>31</v>
      </c>
      <c r="K90" t="s">
        <v>31</v>
      </c>
      <c r="L90" t="s">
        <v>30</v>
      </c>
      <c r="M90" t="s">
        <v>44</v>
      </c>
      <c r="N90">
        <v>7</v>
      </c>
      <c r="O90">
        <v>1</v>
      </c>
      <c r="P90">
        <v>0</v>
      </c>
      <c r="Q90">
        <v>877.2755806654112</v>
      </c>
      <c r="R90">
        <v>8.474576271186441</v>
      </c>
      <c r="S90">
        <v>103.5185185185185</v>
      </c>
      <c r="T90">
        <v>0</v>
      </c>
      <c r="U90">
        <v>0</v>
      </c>
      <c r="V90">
        <v>0</v>
      </c>
      <c r="W90">
        <v>7.935945103353701</v>
      </c>
      <c r="X90">
        <v>0</v>
      </c>
    </row>
    <row r="91" spans="1:24">
      <c r="A91" t="s">
        <v>312</v>
      </c>
      <c r="B91" t="s">
        <v>313</v>
      </c>
      <c r="C91" t="s">
        <v>26</v>
      </c>
      <c r="D91">
        <v>2.02</v>
      </c>
      <c r="E91">
        <v>1731</v>
      </c>
      <c r="F91">
        <v>18</v>
      </c>
      <c r="G91" t="s">
        <v>47</v>
      </c>
      <c r="H91" t="s">
        <v>314</v>
      </c>
      <c r="I91" t="s">
        <v>29</v>
      </c>
      <c r="J91" t="s">
        <v>31</v>
      </c>
      <c r="K91" t="s">
        <v>30</v>
      </c>
      <c r="L91" t="s">
        <v>30</v>
      </c>
      <c r="M91" t="s">
        <v>39</v>
      </c>
      <c r="N91">
        <v>7</v>
      </c>
      <c r="O91">
        <v>1</v>
      </c>
      <c r="P91">
        <v>0</v>
      </c>
      <c r="Q91">
        <v>856.9306930693069</v>
      </c>
      <c r="R91">
        <v>8.910891089108912</v>
      </c>
      <c r="S91">
        <v>96.16666666666669</v>
      </c>
      <c r="T91">
        <v>0</v>
      </c>
      <c r="U91">
        <v>0</v>
      </c>
      <c r="V91">
        <v>0</v>
      </c>
      <c r="W91">
        <v>7.45703208912238</v>
      </c>
      <c r="X91">
        <v>0</v>
      </c>
    </row>
    <row r="92" spans="1:24">
      <c r="A92" t="s">
        <v>315</v>
      </c>
      <c r="B92" t="s">
        <v>316</v>
      </c>
      <c r="C92" t="s">
        <v>35</v>
      </c>
      <c r="D92">
        <v>6.477</v>
      </c>
      <c r="E92">
        <v>1526</v>
      </c>
      <c r="F92">
        <v>17</v>
      </c>
      <c r="G92" t="s">
        <v>47</v>
      </c>
      <c r="H92" t="s">
        <v>317</v>
      </c>
      <c r="I92" t="s">
        <v>29</v>
      </c>
      <c r="J92" t="s">
        <v>31</v>
      </c>
      <c r="K92" t="s">
        <v>38</v>
      </c>
      <c r="L92" t="s">
        <v>30</v>
      </c>
      <c r="M92" t="s">
        <v>97</v>
      </c>
      <c r="N92">
        <v>7</v>
      </c>
      <c r="O92">
        <v>1</v>
      </c>
      <c r="P92">
        <v>0</v>
      </c>
      <c r="Q92">
        <v>235.6029025783542</v>
      </c>
      <c r="R92">
        <v>2.624671916010499</v>
      </c>
      <c r="S92">
        <v>89.76470588235294</v>
      </c>
      <c r="T92">
        <v>0</v>
      </c>
      <c r="U92">
        <v>0</v>
      </c>
      <c r="V92">
        <v>0</v>
      </c>
      <c r="W92">
        <v>7.331060305218632</v>
      </c>
      <c r="X92">
        <v>0</v>
      </c>
    </row>
    <row r="93" spans="1:24">
      <c r="A93" t="s">
        <v>318</v>
      </c>
      <c r="B93" t="s">
        <v>319</v>
      </c>
      <c r="C93" t="s">
        <v>26</v>
      </c>
      <c r="D93">
        <v>2.817</v>
      </c>
      <c r="E93">
        <v>10780</v>
      </c>
      <c r="F93">
        <v>14</v>
      </c>
      <c r="G93" t="s">
        <v>62</v>
      </c>
      <c r="H93" t="s">
        <v>320</v>
      </c>
      <c r="I93" t="s">
        <v>29</v>
      </c>
      <c r="J93" t="s">
        <v>30</v>
      </c>
      <c r="K93" t="s">
        <v>30</v>
      </c>
      <c r="L93" t="s">
        <v>30</v>
      </c>
      <c r="M93" t="s">
        <v>39</v>
      </c>
      <c r="N93">
        <v>7</v>
      </c>
      <c r="O93">
        <v>1</v>
      </c>
      <c r="P93">
        <v>0</v>
      </c>
      <c r="Q93">
        <v>3826.766063187789</v>
      </c>
      <c r="R93">
        <v>4.969826056088037</v>
      </c>
      <c r="S93">
        <v>770</v>
      </c>
      <c r="T93">
        <v>0</v>
      </c>
      <c r="U93">
        <v>0</v>
      </c>
      <c r="V93">
        <v>1</v>
      </c>
      <c r="W93">
        <v>9.285540604539118</v>
      </c>
      <c r="X93">
        <v>0</v>
      </c>
    </row>
    <row r="94" spans="1:24">
      <c r="A94" t="s">
        <v>321</v>
      </c>
      <c r="B94" t="s">
        <v>322</v>
      </c>
      <c r="C94" t="s">
        <v>130</v>
      </c>
      <c r="D94">
        <v>1.712</v>
      </c>
      <c r="E94">
        <v>6194</v>
      </c>
      <c r="F94">
        <v>25</v>
      </c>
      <c r="G94" t="s">
        <v>47</v>
      </c>
      <c r="H94" t="s">
        <v>323</v>
      </c>
      <c r="I94" t="s">
        <v>29</v>
      </c>
      <c r="J94" t="s">
        <v>31</v>
      </c>
      <c r="K94" t="s">
        <v>38</v>
      </c>
      <c r="L94" t="s">
        <v>30</v>
      </c>
      <c r="M94" t="s">
        <v>97</v>
      </c>
      <c r="N94">
        <v>7</v>
      </c>
      <c r="O94">
        <v>1</v>
      </c>
      <c r="P94">
        <v>0</v>
      </c>
      <c r="Q94">
        <v>3617.990654205608</v>
      </c>
      <c r="R94">
        <v>14.60280373831776</v>
      </c>
      <c r="S94">
        <v>247.76</v>
      </c>
      <c r="T94">
        <v>0</v>
      </c>
      <c r="U94">
        <v>0</v>
      </c>
      <c r="V94">
        <v>0</v>
      </c>
      <c r="W94">
        <v>8.731497794063243</v>
      </c>
      <c r="X94">
        <v>0</v>
      </c>
    </row>
    <row r="95" spans="1:24">
      <c r="A95" t="s">
        <v>324</v>
      </c>
      <c r="B95" t="s">
        <v>325</v>
      </c>
      <c r="C95" t="s">
        <v>35</v>
      </c>
      <c r="D95">
        <v>2.655</v>
      </c>
      <c r="E95">
        <v>4584</v>
      </c>
      <c r="F95">
        <v>20</v>
      </c>
      <c r="G95" t="s">
        <v>36</v>
      </c>
      <c r="H95" t="s">
        <v>326</v>
      </c>
      <c r="I95" t="s">
        <v>29</v>
      </c>
      <c r="J95" t="s">
        <v>38</v>
      </c>
      <c r="K95" t="s">
        <v>30</v>
      </c>
      <c r="L95" t="s">
        <v>30</v>
      </c>
      <c r="M95" t="s">
        <v>39</v>
      </c>
      <c r="N95">
        <v>7</v>
      </c>
      <c r="O95">
        <v>1</v>
      </c>
      <c r="P95">
        <v>0</v>
      </c>
      <c r="Q95">
        <v>1726.553672316384</v>
      </c>
      <c r="R95">
        <v>7.532956685499059</v>
      </c>
      <c r="S95">
        <v>229.2</v>
      </c>
      <c r="T95">
        <v>0</v>
      </c>
      <c r="U95">
        <v>0</v>
      </c>
      <c r="V95">
        <v>0</v>
      </c>
      <c r="W95">
        <v>8.430545384690566</v>
      </c>
      <c r="X95">
        <v>0</v>
      </c>
    </row>
    <row r="96" spans="1:24">
      <c r="A96" t="s">
        <v>327</v>
      </c>
      <c r="B96" t="s">
        <v>328</v>
      </c>
      <c r="C96" t="s">
        <v>130</v>
      </c>
      <c r="D96">
        <v>4.638</v>
      </c>
      <c r="E96">
        <v>6070</v>
      </c>
      <c r="F96">
        <v>20</v>
      </c>
      <c r="G96" t="s">
        <v>27</v>
      </c>
      <c r="H96" t="s">
        <v>329</v>
      </c>
      <c r="I96" t="s">
        <v>29</v>
      </c>
      <c r="J96" t="s">
        <v>30</v>
      </c>
      <c r="K96" t="s">
        <v>30</v>
      </c>
      <c r="L96" t="s">
        <v>30</v>
      </c>
      <c r="M96" t="s">
        <v>44</v>
      </c>
      <c r="N96">
        <v>7</v>
      </c>
      <c r="O96">
        <v>1</v>
      </c>
      <c r="P96">
        <v>0</v>
      </c>
      <c r="Q96">
        <v>1308.753773178094</v>
      </c>
      <c r="R96">
        <v>4.3122035360069</v>
      </c>
      <c r="S96">
        <v>303.5</v>
      </c>
      <c r="T96">
        <v>0</v>
      </c>
      <c r="U96">
        <v>0</v>
      </c>
      <c r="V96">
        <v>0</v>
      </c>
      <c r="W96">
        <v>8.711278615130434</v>
      </c>
      <c r="X96">
        <v>0</v>
      </c>
    </row>
    <row r="97" spans="1:24">
      <c r="A97" t="s">
        <v>330</v>
      </c>
      <c r="B97" t="s">
        <v>331</v>
      </c>
      <c r="C97" t="s">
        <v>26</v>
      </c>
      <c r="D97">
        <v>4.63</v>
      </c>
      <c r="E97">
        <v>50602</v>
      </c>
      <c r="F97">
        <v>51</v>
      </c>
      <c r="G97" t="s">
        <v>62</v>
      </c>
      <c r="H97" t="s">
        <v>332</v>
      </c>
      <c r="I97" t="s">
        <v>49</v>
      </c>
      <c r="J97" t="s">
        <v>30</v>
      </c>
      <c r="K97" t="s">
        <v>30</v>
      </c>
      <c r="L97" t="s">
        <v>31</v>
      </c>
      <c r="M97" t="s">
        <v>44</v>
      </c>
      <c r="N97">
        <v>7</v>
      </c>
      <c r="O97">
        <v>1</v>
      </c>
      <c r="P97">
        <v>0</v>
      </c>
      <c r="Q97">
        <v>10929.15766738661</v>
      </c>
      <c r="R97">
        <v>11.01511879049676</v>
      </c>
      <c r="S97">
        <v>992.1960784313726</v>
      </c>
      <c r="T97">
        <v>0</v>
      </c>
      <c r="U97">
        <v>0</v>
      </c>
      <c r="V97">
        <v>1</v>
      </c>
      <c r="W97">
        <v>10.83176614205561</v>
      </c>
      <c r="X97">
        <v>1</v>
      </c>
    </row>
    <row r="98" spans="1:24">
      <c r="A98" t="s">
        <v>333</v>
      </c>
      <c r="B98" t="s">
        <v>334</v>
      </c>
      <c r="C98" t="s">
        <v>35</v>
      </c>
      <c r="D98">
        <v>4.217</v>
      </c>
      <c r="E98">
        <v>3069</v>
      </c>
      <c r="F98">
        <v>27</v>
      </c>
      <c r="G98" t="s">
        <v>62</v>
      </c>
      <c r="H98" t="s">
        <v>335</v>
      </c>
      <c r="I98" t="s">
        <v>29</v>
      </c>
      <c r="J98" t="s">
        <v>30</v>
      </c>
      <c r="K98" t="s">
        <v>30</v>
      </c>
      <c r="L98" t="s">
        <v>31</v>
      </c>
      <c r="M98" t="s">
        <v>44</v>
      </c>
      <c r="N98">
        <v>8</v>
      </c>
      <c r="O98">
        <v>1</v>
      </c>
      <c r="P98">
        <v>0</v>
      </c>
      <c r="Q98">
        <v>727.7685558453878</v>
      </c>
      <c r="R98">
        <v>6.402655916528338</v>
      </c>
      <c r="S98">
        <v>113.6666666666667</v>
      </c>
      <c r="T98">
        <v>0</v>
      </c>
      <c r="U98">
        <v>0</v>
      </c>
      <c r="V98">
        <v>0</v>
      </c>
      <c r="W98">
        <v>8.029432840581244</v>
      </c>
      <c r="X98">
        <v>0</v>
      </c>
    </row>
    <row r="99" spans="1:24">
      <c r="A99" t="s">
        <v>336</v>
      </c>
      <c r="B99" t="s">
        <v>337</v>
      </c>
      <c r="C99" t="s">
        <v>26</v>
      </c>
      <c r="D99">
        <v>2.558</v>
      </c>
      <c r="E99">
        <v>5743</v>
      </c>
      <c r="F99">
        <v>28</v>
      </c>
      <c r="G99" t="s">
        <v>36</v>
      </c>
      <c r="H99" t="s">
        <v>338</v>
      </c>
      <c r="I99" t="s">
        <v>29</v>
      </c>
      <c r="J99" t="s">
        <v>38</v>
      </c>
      <c r="K99" t="s">
        <v>30</v>
      </c>
      <c r="L99" t="s">
        <v>31</v>
      </c>
      <c r="M99" t="s">
        <v>83</v>
      </c>
      <c r="N99">
        <v>8</v>
      </c>
      <c r="O99">
        <v>1</v>
      </c>
      <c r="P99">
        <v>0</v>
      </c>
      <c r="Q99">
        <v>2245.113369820172</v>
      </c>
      <c r="R99">
        <v>10.9460516028147</v>
      </c>
      <c r="S99">
        <v>205.1071428571429</v>
      </c>
      <c r="T99">
        <v>0</v>
      </c>
      <c r="U99">
        <v>0</v>
      </c>
      <c r="V99">
        <v>0</v>
      </c>
      <c r="W99">
        <v>8.655911110728059</v>
      </c>
      <c r="X99">
        <v>0</v>
      </c>
    </row>
    <row r="100" spans="1:24">
      <c r="A100" t="s">
        <v>339</v>
      </c>
      <c r="B100" t="s">
        <v>340</v>
      </c>
      <c r="C100" t="s">
        <v>35</v>
      </c>
      <c r="D100">
        <v>3.039</v>
      </c>
      <c r="E100">
        <v>6049</v>
      </c>
      <c r="F100">
        <v>25</v>
      </c>
      <c r="G100" t="s">
        <v>27</v>
      </c>
      <c r="H100" t="s">
        <v>341</v>
      </c>
      <c r="I100" t="s">
        <v>29</v>
      </c>
      <c r="J100" t="s">
        <v>30</v>
      </c>
      <c r="K100" t="s">
        <v>38</v>
      </c>
      <c r="L100" t="s">
        <v>31</v>
      </c>
      <c r="M100" t="s">
        <v>76</v>
      </c>
      <c r="N100">
        <v>8</v>
      </c>
      <c r="O100">
        <v>1</v>
      </c>
      <c r="P100">
        <v>0</v>
      </c>
      <c r="Q100">
        <v>1990.457387298453</v>
      </c>
      <c r="R100">
        <v>8.226390259953932</v>
      </c>
      <c r="S100">
        <v>241.96</v>
      </c>
      <c r="T100">
        <v>0</v>
      </c>
      <c r="U100">
        <v>0</v>
      </c>
      <c r="V100">
        <v>0</v>
      </c>
      <c r="W100">
        <v>8.707813551024888</v>
      </c>
      <c r="X100">
        <v>0</v>
      </c>
    </row>
    <row r="101" spans="1:24">
      <c r="A101" t="s">
        <v>342</v>
      </c>
      <c r="B101" t="s">
        <v>343</v>
      </c>
      <c r="C101" t="s">
        <v>35</v>
      </c>
      <c r="D101">
        <v>3.902</v>
      </c>
      <c r="E101">
        <v>715</v>
      </c>
      <c r="F101">
        <v>20</v>
      </c>
      <c r="G101" t="s">
        <v>36</v>
      </c>
      <c r="H101" t="s">
        <v>344</v>
      </c>
      <c r="I101" t="s">
        <v>29</v>
      </c>
      <c r="J101" t="s">
        <v>38</v>
      </c>
      <c r="K101" t="s">
        <v>30</v>
      </c>
      <c r="L101" t="s">
        <v>30</v>
      </c>
      <c r="M101" t="s">
        <v>39</v>
      </c>
      <c r="N101">
        <v>8</v>
      </c>
      <c r="O101">
        <v>1</v>
      </c>
      <c r="P101">
        <v>0</v>
      </c>
      <c r="Q101">
        <v>183.2393644284982</v>
      </c>
      <c r="R101">
        <v>5.125576627370579</v>
      </c>
      <c r="S101">
        <v>35.75</v>
      </c>
      <c r="T101">
        <v>0</v>
      </c>
      <c r="U101">
        <v>0</v>
      </c>
      <c r="V101">
        <v>0</v>
      </c>
      <c r="W101">
        <v>6.573680166960646</v>
      </c>
      <c r="X101">
        <v>0</v>
      </c>
    </row>
    <row r="102" spans="1:24">
      <c r="A102" t="s">
        <v>345</v>
      </c>
      <c r="B102" t="s">
        <v>346</v>
      </c>
      <c r="C102" t="s">
        <v>35</v>
      </c>
      <c r="D102">
        <v>1.778</v>
      </c>
      <c r="E102">
        <v>10339</v>
      </c>
      <c r="F102">
        <v>18</v>
      </c>
      <c r="G102" t="s">
        <v>47</v>
      </c>
      <c r="H102" t="s">
        <v>347</v>
      </c>
      <c r="I102" t="s">
        <v>29</v>
      </c>
      <c r="J102" t="s">
        <v>31</v>
      </c>
      <c r="K102" t="s">
        <v>31</v>
      </c>
      <c r="L102" t="s">
        <v>30</v>
      </c>
      <c r="M102" t="s">
        <v>44</v>
      </c>
      <c r="N102">
        <v>8</v>
      </c>
      <c r="O102">
        <v>1</v>
      </c>
      <c r="P102">
        <v>0</v>
      </c>
      <c r="Q102">
        <v>5814.96062992126</v>
      </c>
      <c r="R102">
        <v>10.12373453318335</v>
      </c>
      <c r="S102">
        <v>574.3888888888889</v>
      </c>
      <c r="T102">
        <v>0</v>
      </c>
      <c r="U102">
        <v>0</v>
      </c>
      <c r="V102">
        <v>1</v>
      </c>
      <c r="W102">
        <v>9.24377514806242</v>
      </c>
      <c r="X102">
        <v>0</v>
      </c>
    </row>
    <row r="103" spans="1:24">
      <c r="A103" t="s">
        <v>348</v>
      </c>
      <c r="B103" t="s">
        <v>349</v>
      </c>
      <c r="C103" t="s">
        <v>35</v>
      </c>
      <c r="D103">
        <v>3.967</v>
      </c>
      <c r="E103">
        <v>1994</v>
      </c>
      <c r="F103">
        <v>23</v>
      </c>
      <c r="G103" t="s">
        <v>62</v>
      </c>
      <c r="H103" t="s">
        <v>350</v>
      </c>
      <c r="I103" t="s">
        <v>29</v>
      </c>
      <c r="J103" t="s">
        <v>30</v>
      </c>
      <c r="K103" t="s">
        <v>31</v>
      </c>
      <c r="L103" t="s">
        <v>31</v>
      </c>
      <c r="M103" t="s">
        <v>44</v>
      </c>
      <c r="N103">
        <v>8</v>
      </c>
      <c r="O103">
        <v>1</v>
      </c>
      <c r="P103">
        <v>0</v>
      </c>
      <c r="Q103">
        <v>502.6468364003025</v>
      </c>
      <c r="R103">
        <v>5.797832114948323</v>
      </c>
      <c r="S103">
        <v>86.69565217391305</v>
      </c>
      <c r="T103">
        <v>0</v>
      </c>
      <c r="U103">
        <v>0</v>
      </c>
      <c r="V103">
        <v>0</v>
      </c>
      <c r="W103">
        <v>7.598399329323964</v>
      </c>
      <c r="X103">
        <v>0</v>
      </c>
    </row>
    <row r="104" spans="1:24">
      <c r="A104" t="s">
        <v>351</v>
      </c>
      <c r="B104" t="s">
        <v>352</v>
      </c>
      <c r="C104" t="s">
        <v>130</v>
      </c>
      <c r="D104">
        <v>1.613</v>
      </c>
      <c r="E104">
        <v>4427</v>
      </c>
      <c r="F104">
        <v>24</v>
      </c>
      <c r="G104" t="s">
        <v>27</v>
      </c>
      <c r="H104" t="s">
        <v>353</v>
      </c>
      <c r="I104" t="s">
        <v>29</v>
      </c>
      <c r="J104" t="s">
        <v>30</v>
      </c>
      <c r="K104" t="s">
        <v>30</v>
      </c>
      <c r="L104" t="s">
        <v>31</v>
      </c>
      <c r="M104" t="s">
        <v>83</v>
      </c>
      <c r="N104">
        <v>8</v>
      </c>
      <c r="O104">
        <v>1</v>
      </c>
      <c r="P104">
        <v>0</v>
      </c>
      <c r="Q104">
        <v>2744.575325480472</v>
      </c>
      <c r="R104">
        <v>14.87910725356479</v>
      </c>
      <c r="S104">
        <v>184.4583333333333</v>
      </c>
      <c r="T104">
        <v>0</v>
      </c>
      <c r="U104">
        <v>0</v>
      </c>
      <c r="V104">
        <v>0</v>
      </c>
      <c r="W104">
        <v>8.395703293828527</v>
      </c>
      <c r="X104">
        <v>0</v>
      </c>
    </row>
    <row r="105" spans="1:24">
      <c r="A105" t="s">
        <v>354</v>
      </c>
      <c r="B105" t="s">
        <v>355</v>
      </c>
      <c r="C105" t="s">
        <v>26</v>
      </c>
      <c r="D105">
        <v>2.404</v>
      </c>
      <c r="E105">
        <v>895</v>
      </c>
      <c r="F105">
        <v>18</v>
      </c>
      <c r="G105" t="s">
        <v>27</v>
      </c>
      <c r="H105" t="s">
        <v>356</v>
      </c>
      <c r="I105" t="s">
        <v>29</v>
      </c>
      <c r="J105" t="s">
        <v>30</v>
      </c>
      <c r="K105" t="s">
        <v>31</v>
      </c>
      <c r="L105" t="s">
        <v>31</v>
      </c>
      <c r="M105" t="s">
        <v>97</v>
      </c>
      <c r="N105">
        <v>8</v>
      </c>
      <c r="O105">
        <v>1</v>
      </c>
      <c r="P105">
        <v>0</v>
      </c>
      <c r="Q105">
        <v>372.2961730449251</v>
      </c>
      <c r="R105">
        <v>7.487520798668886</v>
      </c>
      <c r="S105">
        <v>49.72222222222222</v>
      </c>
      <c r="T105">
        <v>0</v>
      </c>
      <c r="U105">
        <v>0</v>
      </c>
      <c r="V105">
        <v>0</v>
      </c>
      <c r="W105">
        <v>6.79794041297493</v>
      </c>
      <c r="X105">
        <v>0</v>
      </c>
    </row>
    <row r="106" spans="1:24">
      <c r="A106" t="s">
        <v>357</v>
      </c>
      <c r="B106" t="s">
        <v>358</v>
      </c>
      <c r="C106" t="s">
        <v>52</v>
      </c>
      <c r="D106">
        <v>3.159</v>
      </c>
      <c r="E106">
        <v>3464</v>
      </c>
      <c r="F106">
        <v>23</v>
      </c>
      <c r="G106" t="s">
        <v>47</v>
      </c>
      <c r="H106" t="s">
        <v>359</v>
      </c>
      <c r="I106" t="s">
        <v>29</v>
      </c>
      <c r="J106" t="s">
        <v>31</v>
      </c>
      <c r="K106" t="s">
        <v>30</v>
      </c>
      <c r="L106" t="s">
        <v>31</v>
      </c>
      <c r="M106" t="s">
        <v>39</v>
      </c>
      <c r="N106">
        <v>8</v>
      </c>
      <c r="O106">
        <v>1</v>
      </c>
      <c r="P106">
        <v>0</v>
      </c>
      <c r="Q106">
        <v>1096.549540993986</v>
      </c>
      <c r="R106">
        <v>7.280785058562837</v>
      </c>
      <c r="S106">
        <v>150.6086956521739</v>
      </c>
      <c r="T106">
        <v>0</v>
      </c>
      <c r="U106">
        <v>0</v>
      </c>
      <c r="V106">
        <v>0</v>
      </c>
      <c r="W106">
        <v>8.150467911624004</v>
      </c>
      <c r="X106">
        <v>0</v>
      </c>
    </row>
    <row r="107" spans="1:24">
      <c r="A107" t="s">
        <v>360</v>
      </c>
      <c r="B107" t="s">
        <v>361</v>
      </c>
      <c r="C107" t="s">
        <v>35</v>
      </c>
      <c r="D107">
        <v>3.789</v>
      </c>
      <c r="E107">
        <v>23284</v>
      </c>
      <c r="F107">
        <v>19</v>
      </c>
      <c r="G107" t="s">
        <v>47</v>
      </c>
      <c r="H107" t="s">
        <v>362</v>
      </c>
      <c r="I107" t="s">
        <v>29</v>
      </c>
      <c r="J107" t="s">
        <v>31</v>
      </c>
      <c r="K107" t="s">
        <v>30</v>
      </c>
      <c r="L107" t="s">
        <v>30</v>
      </c>
      <c r="M107" t="s">
        <v>44</v>
      </c>
      <c r="N107">
        <v>8</v>
      </c>
      <c r="O107">
        <v>1</v>
      </c>
      <c r="P107">
        <v>0</v>
      </c>
      <c r="Q107">
        <v>6145.157033518079</v>
      </c>
      <c r="R107">
        <v>5.014515703351807</v>
      </c>
      <c r="S107">
        <v>1225.473684210526</v>
      </c>
      <c r="T107">
        <v>0</v>
      </c>
      <c r="U107">
        <v>0</v>
      </c>
      <c r="V107">
        <v>1</v>
      </c>
      <c r="W107">
        <v>10.05556465541648</v>
      </c>
      <c r="X107">
        <v>0</v>
      </c>
    </row>
    <row r="108" spans="1:24">
      <c r="A108" t="s">
        <v>363</v>
      </c>
      <c r="B108" t="s">
        <v>364</v>
      </c>
      <c r="C108" t="s">
        <v>26</v>
      </c>
      <c r="D108">
        <v>4.129</v>
      </c>
      <c r="E108">
        <v>2786</v>
      </c>
      <c r="F108">
        <v>14</v>
      </c>
      <c r="G108" t="s">
        <v>27</v>
      </c>
      <c r="H108" t="s">
        <v>365</v>
      </c>
      <c r="I108" t="s">
        <v>29</v>
      </c>
      <c r="J108" t="s">
        <v>30</v>
      </c>
      <c r="K108" t="s">
        <v>30</v>
      </c>
      <c r="L108" t="s">
        <v>31</v>
      </c>
      <c r="M108" t="s">
        <v>76</v>
      </c>
      <c r="N108">
        <v>8</v>
      </c>
      <c r="O108">
        <v>1</v>
      </c>
      <c r="P108">
        <v>0</v>
      </c>
      <c r="Q108">
        <v>674.7396464034877</v>
      </c>
      <c r="R108">
        <v>3.390651489464762</v>
      </c>
      <c r="S108">
        <v>199</v>
      </c>
      <c r="T108">
        <v>0</v>
      </c>
      <c r="U108">
        <v>0</v>
      </c>
      <c r="V108">
        <v>0</v>
      </c>
      <c r="W108">
        <v>7.932721027481948</v>
      </c>
      <c r="X108">
        <v>0</v>
      </c>
    </row>
    <row r="109" spans="1:24">
      <c r="A109" t="s">
        <v>366</v>
      </c>
      <c r="B109" t="s">
        <v>367</v>
      </c>
      <c r="C109" t="s">
        <v>35</v>
      </c>
      <c r="D109">
        <v>6.057</v>
      </c>
      <c r="E109">
        <v>4822</v>
      </c>
      <c r="F109">
        <v>19</v>
      </c>
      <c r="G109" t="s">
        <v>27</v>
      </c>
      <c r="H109" t="s">
        <v>368</v>
      </c>
      <c r="I109" t="s">
        <v>29</v>
      </c>
      <c r="J109" t="s">
        <v>30</v>
      </c>
      <c r="K109" t="s">
        <v>30</v>
      </c>
      <c r="L109" t="s">
        <v>30</v>
      </c>
      <c r="M109" t="s">
        <v>76</v>
      </c>
      <c r="N109">
        <v>8</v>
      </c>
      <c r="O109">
        <v>1</v>
      </c>
      <c r="P109">
        <v>0</v>
      </c>
      <c r="Q109">
        <v>796.1036816906059</v>
      </c>
      <c r="R109">
        <v>3.13686643552914</v>
      </c>
      <c r="S109">
        <v>253.7894736842105</v>
      </c>
      <c r="T109">
        <v>0</v>
      </c>
      <c r="U109">
        <v>0</v>
      </c>
      <c r="V109">
        <v>0</v>
      </c>
      <c r="W109">
        <v>8.481151420068972</v>
      </c>
      <c r="X109">
        <v>0</v>
      </c>
    </row>
    <row r="110" spans="1:24">
      <c r="A110" t="s">
        <v>369</v>
      </c>
      <c r="B110" t="s">
        <v>370</v>
      </c>
      <c r="C110" t="s">
        <v>26</v>
      </c>
      <c r="D110">
        <v>1.735</v>
      </c>
      <c r="E110">
        <v>3072</v>
      </c>
      <c r="F110">
        <v>21</v>
      </c>
      <c r="G110" t="s">
        <v>47</v>
      </c>
      <c r="H110" t="s">
        <v>371</v>
      </c>
      <c r="I110" t="s">
        <v>29</v>
      </c>
      <c r="J110" t="s">
        <v>31</v>
      </c>
      <c r="K110" t="s">
        <v>31</v>
      </c>
      <c r="L110" t="s">
        <v>30</v>
      </c>
      <c r="M110" t="s">
        <v>44</v>
      </c>
      <c r="N110">
        <v>9</v>
      </c>
      <c r="O110">
        <v>1</v>
      </c>
      <c r="P110">
        <v>0</v>
      </c>
      <c r="Q110">
        <v>1770.605187319885</v>
      </c>
      <c r="R110">
        <v>12.10374639769452</v>
      </c>
      <c r="S110">
        <v>146.2857142857143</v>
      </c>
      <c r="T110">
        <v>0</v>
      </c>
      <c r="U110">
        <v>0</v>
      </c>
      <c r="V110">
        <v>0</v>
      </c>
      <c r="W110">
        <v>8.030409562130485</v>
      </c>
      <c r="X110">
        <v>0</v>
      </c>
    </row>
    <row r="111" spans="1:24">
      <c r="A111" t="s">
        <v>372</v>
      </c>
      <c r="B111" t="s">
        <v>373</v>
      </c>
      <c r="C111" t="s">
        <v>35</v>
      </c>
      <c r="D111">
        <v>5.382</v>
      </c>
      <c r="E111">
        <v>9828</v>
      </c>
      <c r="F111">
        <v>11</v>
      </c>
      <c r="G111" t="s">
        <v>36</v>
      </c>
      <c r="H111" t="s">
        <v>374</v>
      </c>
      <c r="I111" t="s">
        <v>29</v>
      </c>
      <c r="J111" t="s">
        <v>38</v>
      </c>
      <c r="K111" t="s">
        <v>31</v>
      </c>
      <c r="L111" t="s">
        <v>38</v>
      </c>
      <c r="M111" t="s">
        <v>32</v>
      </c>
      <c r="N111">
        <v>9</v>
      </c>
      <c r="O111">
        <v>1</v>
      </c>
      <c r="P111">
        <v>0</v>
      </c>
      <c r="Q111">
        <v>1826.086956521739</v>
      </c>
      <c r="R111">
        <v>2.043849869936826</v>
      </c>
      <c r="S111">
        <v>893.4545454545455</v>
      </c>
      <c r="T111">
        <v>0</v>
      </c>
      <c r="U111">
        <v>0</v>
      </c>
      <c r="V111">
        <v>1</v>
      </c>
      <c r="W111">
        <v>9.19309247856663</v>
      </c>
      <c r="X111">
        <v>0</v>
      </c>
    </row>
    <row r="112" spans="1:24">
      <c r="A112" t="s">
        <v>375</v>
      </c>
      <c r="B112" t="s">
        <v>376</v>
      </c>
      <c r="C112" t="s">
        <v>35</v>
      </c>
      <c r="D112">
        <v>1.242</v>
      </c>
      <c r="E112">
        <v>5311</v>
      </c>
      <c r="F112">
        <v>17</v>
      </c>
      <c r="G112" t="s">
        <v>36</v>
      </c>
      <c r="H112" t="s">
        <v>377</v>
      </c>
      <c r="I112" t="s">
        <v>29</v>
      </c>
      <c r="J112" t="s">
        <v>38</v>
      </c>
      <c r="K112" t="s">
        <v>30</v>
      </c>
      <c r="L112" t="s">
        <v>31</v>
      </c>
      <c r="M112" t="s">
        <v>32</v>
      </c>
      <c r="N112">
        <v>9</v>
      </c>
      <c r="O112">
        <v>1</v>
      </c>
      <c r="P112">
        <v>0</v>
      </c>
      <c r="Q112">
        <v>4276.167471819645</v>
      </c>
      <c r="R112">
        <v>13.68760064412238</v>
      </c>
      <c r="S112">
        <v>312.4117647058824</v>
      </c>
      <c r="T112">
        <v>0</v>
      </c>
      <c r="U112">
        <v>0</v>
      </c>
      <c r="V112">
        <v>0</v>
      </c>
      <c r="W112">
        <v>8.577723691156271</v>
      </c>
      <c r="X112">
        <v>0</v>
      </c>
    </row>
    <row r="113" spans="1:24">
      <c r="A113" t="s">
        <v>378</v>
      </c>
      <c r="B113" t="s">
        <v>379</v>
      </c>
      <c r="C113" t="s">
        <v>35</v>
      </c>
      <c r="D113">
        <v>3.465</v>
      </c>
      <c r="E113">
        <v>773</v>
      </c>
      <c r="F113">
        <v>13</v>
      </c>
      <c r="G113" t="s">
        <v>62</v>
      </c>
      <c r="H113" t="s">
        <v>380</v>
      </c>
      <c r="I113" t="s">
        <v>29</v>
      </c>
      <c r="J113" t="s">
        <v>30</v>
      </c>
      <c r="K113" t="s">
        <v>30</v>
      </c>
      <c r="L113" t="s">
        <v>30</v>
      </c>
      <c r="M113" t="s">
        <v>76</v>
      </c>
      <c r="N113">
        <v>9</v>
      </c>
      <c r="O113">
        <v>1</v>
      </c>
      <c r="P113">
        <v>0</v>
      </c>
      <c r="Q113">
        <v>223.0880230880231</v>
      </c>
      <c r="R113">
        <v>3.751803751803752</v>
      </c>
      <c r="S113">
        <v>59.46153846153846</v>
      </c>
      <c r="T113">
        <v>0</v>
      </c>
      <c r="U113">
        <v>0</v>
      </c>
      <c r="V113">
        <v>0</v>
      </c>
      <c r="W113">
        <v>6.651571873589727</v>
      </c>
      <c r="X113">
        <v>0</v>
      </c>
    </row>
    <row r="114" spans="1:24">
      <c r="A114" t="s">
        <v>381</v>
      </c>
      <c r="B114" t="s">
        <v>382</v>
      </c>
      <c r="C114" t="s">
        <v>35</v>
      </c>
      <c r="D114">
        <v>5.154</v>
      </c>
      <c r="E114">
        <v>3984</v>
      </c>
      <c r="F114">
        <v>25</v>
      </c>
      <c r="G114" t="s">
        <v>62</v>
      </c>
      <c r="H114" t="s">
        <v>383</v>
      </c>
      <c r="I114" t="s">
        <v>29</v>
      </c>
      <c r="J114" t="s">
        <v>30</v>
      </c>
      <c r="K114" t="s">
        <v>30</v>
      </c>
      <c r="L114" t="s">
        <v>30</v>
      </c>
      <c r="M114" t="s">
        <v>39</v>
      </c>
      <c r="N114">
        <v>9</v>
      </c>
      <c r="O114">
        <v>1</v>
      </c>
      <c r="P114">
        <v>0</v>
      </c>
      <c r="Q114">
        <v>772.9918509895227</v>
      </c>
      <c r="R114">
        <v>4.850601474582849</v>
      </c>
      <c r="S114">
        <v>159.36</v>
      </c>
      <c r="T114">
        <v>0</v>
      </c>
      <c r="U114">
        <v>0</v>
      </c>
      <c r="V114">
        <v>0</v>
      </c>
      <c r="W114">
        <v>8.290292591224315</v>
      </c>
      <c r="X114">
        <v>0</v>
      </c>
    </row>
    <row r="115" spans="1:24">
      <c r="A115" t="s">
        <v>384</v>
      </c>
      <c r="B115" t="s">
        <v>385</v>
      </c>
      <c r="C115" t="s">
        <v>26</v>
      </c>
      <c r="D115">
        <v>1.958</v>
      </c>
      <c r="E115">
        <v>900</v>
      </c>
      <c r="F115">
        <v>17</v>
      </c>
      <c r="G115" t="s">
        <v>62</v>
      </c>
      <c r="H115" t="s">
        <v>386</v>
      </c>
      <c r="I115" t="s">
        <v>29</v>
      </c>
      <c r="J115" t="s">
        <v>30</v>
      </c>
      <c r="K115" t="s">
        <v>30</v>
      </c>
      <c r="L115" t="s">
        <v>30</v>
      </c>
      <c r="M115" t="s">
        <v>76</v>
      </c>
      <c r="N115">
        <v>9</v>
      </c>
      <c r="O115">
        <v>1</v>
      </c>
      <c r="P115">
        <v>0</v>
      </c>
      <c r="Q115">
        <v>459.6527068437181</v>
      </c>
      <c r="R115">
        <v>8.682328907048008</v>
      </c>
      <c r="S115">
        <v>52.94117647058823</v>
      </c>
      <c r="T115">
        <v>0</v>
      </c>
      <c r="U115">
        <v>0</v>
      </c>
      <c r="V115">
        <v>0</v>
      </c>
      <c r="W115">
        <v>6.803505257608338</v>
      </c>
      <c r="X115">
        <v>0</v>
      </c>
    </row>
    <row r="116" spans="1:24">
      <c r="A116" t="s">
        <v>387</v>
      </c>
      <c r="B116" t="s">
        <v>388</v>
      </c>
      <c r="C116" t="s">
        <v>35</v>
      </c>
      <c r="D116">
        <v>4.312</v>
      </c>
      <c r="E116">
        <v>6138</v>
      </c>
      <c r="F116">
        <v>20</v>
      </c>
      <c r="G116" t="s">
        <v>27</v>
      </c>
      <c r="H116" t="s">
        <v>389</v>
      </c>
      <c r="I116" t="s">
        <v>29</v>
      </c>
      <c r="J116" t="s">
        <v>30</v>
      </c>
      <c r="K116" t="s">
        <v>30</v>
      </c>
      <c r="L116" t="s">
        <v>38</v>
      </c>
      <c r="M116" t="s">
        <v>83</v>
      </c>
      <c r="N116">
        <v>9</v>
      </c>
      <c r="O116">
        <v>1</v>
      </c>
      <c r="P116">
        <v>0</v>
      </c>
      <c r="Q116">
        <v>1423.469387755102</v>
      </c>
      <c r="R116">
        <v>4.638218923933209</v>
      </c>
      <c r="S116">
        <v>306.9</v>
      </c>
      <c r="T116">
        <v>0</v>
      </c>
      <c r="U116">
        <v>0</v>
      </c>
      <c r="V116">
        <v>0</v>
      </c>
      <c r="W116">
        <v>8.722417141427496</v>
      </c>
      <c r="X116">
        <v>0</v>
      </c>
    </row>
    <row r="117" spans="1:24">
      <c r="A117" t="s">
        <v>390</v>
      </c>
      <c r="B117" t="s">
        <v>391</v>
      </c>
      <c r="C117" t="s">
        <v>35</v>
      </c>
      <c r="D117">
        <v>2.315</v>
      </c>
      <c r="E117">
        <v>3935</v>
      </c>
      <c r="F117">
        <v>14</v>
      </c>
      <c r="G117" t="s">
        <v>27</v>
      </c>
      <c r="H117" t="s">
        <v>392</v>
      </c>
      <c r="I117" t="s">
        <v>29</v>
      </c>
      <c r="J117" t="s">
        <v>30</v>
      </c>
      <c r="K117" t="s">
        <v>38</v>
      </c>
      <c r="L117" t="s">
        <v>38</v>
      </c>
      <c r="M117" t="s">
        <v>76</v>
      </c>
      <c r="N117">
        <v>9</v>
      </c>
      <c r="O117">
        <v>1</v>
      </c>
      <c r="P117">
        <v>0</v>
      </c>
      <c r="Q117">
        <v>1699.784017278618</v>
      </c>
      <c r="R117">
        <v>6.047516198704104</v>
      </c>
      <c r="S117">
        <v>281.0714285714286</v>
      </c>
      <c r="T117">
        <v>0</v>
      </c>
      <c r="U117">
        <v>0</v>
      </c>
      <c r="V117">
        <v>0</v>
      </c>
      <c r="W117">
        <v>8.277920258172143</v>
      </c>
      <c r="X117">
        <v>0</v>
      </c>
    </row>
    <row r="118" spans="1:24">
      <c r="A118" t="s">
        <v>393</v>
      </c>
      <c r="B118" t="s">
        <v>394</v>
      </c>
      <c r="C118" t="s">
        <v>35</v>
      </c>
      <c r="D118">
        <v>6.938</v>
      </c>
      <c r="E118">
        <v>21352</v>
      </c>
      <c r="F118">
        <v>59</v>
      </c>
      <c r="G118" t="s">
        <v>47</v>
      </c>
      <c r="H118" t="s">
        <v>395</v>
      </c>
      <c r="I118" t="s">
        <v>49</v>
      </c>
      <c r="J118" t="s">
        <v>31</v>
      </c>
      <c r="K118" t="s">
        <v>30</v>
      </c>
      <c r="L118" t="s">
        <v>31</v>
      </c>
      <c r="M118" t="s">
        <v>39</v>
      </c>
      <c r="N118">
        <v>9</v>
      </c>
      <c r="O118">
        <v>1</v>
      </c>
      <c r="P118">
        <v>0</v>
      </c>
      <c r="Q118">
        <v>3077.543960795619</v>
      </c>
      <c r="R118">
        <v>8.503891611415394</v>
      </c>
      <c r="S118">
        <v>361.8983050847457</v>
      </c>
      <c r="T118">
        <v>0</v>
      </c>
      <c r="U118">
        <v>0</v>
      </c>
      <c r="V118">
        <v>1</v>
      </c>
      <c r="W118">
        <v>9.968947524007914</v>
      </c>
      <c r="X118">
        <v>1</v>
      </c>
    </row>
    <row r="119" spans="1:24">
      <c r="A119" t="s">
        <v>396</v>
      </c>
      <c r="B119" t="s">
        <v>397</v>
      </c>
      <c r="C119" t="s">
        <v>35</v>
      </c>
      <c r="D119">
        <v>3.516</v>
      </c>
      <c r="E119">
        <v>8800</v>
      </c>
      <c r="F119">
        <v>24</v>
      </c>
      <c r="G119" t="s">
        <v>47</v>
      </c>
      <c r="H119" t="s">
        <v>398</v>
      </c>
      <c r="I119" t="s">
        <v>29</v>
      </c>
      <c r="J119" t="s">
        <v>31</v>
      </c>
      <c r="K119" t="s">
        <v>30</v>
      </c>
      <c r="L119" t="s">
        <v>30</v>
      </c>
      <c r="M119" t="s">
        <v>97</v>
      </c>
      <c r="N119">
        <v>9</v>
      </c>
      <c r="O119">
        <v>1</v>
      </c>
      <c r="P119">
        <v>0</v>
      </c>
      <c r="Q119">
        <v>2502.844141069397</v>
      </c>
      <c r="R119">
        <v>6.825938566552901</v>
      </c>
      <c r="S119">
        <v>366.6666666666667</v>
      </c>
      <c r="T119">
        <v>0</v>
      </c>
      <c r="U119">
        <v>0</v>
      </c>
      <c r="V119">
        <v>0</v>
      </c>
      <c r="W119">
        <v>9.082620630373812</v>
      </c>
      <c r="X119">
        <v>0</v>
      </c>
    </row>
    <row r="120" spans="1:24">
      <c r="A120" t="s">
        <v>399</v>
      </c>
      <c r="B120" t="s">
        <v>400</v>
      </c>
      <c r="C120" t="s">
        <v>26</v>
      </c>
      <c r="D120">
        <v>6.062</v>
      </c>
      <c r="E120">
        <v>3390</v>
      </c>
      <c r="F120">
        <v>16</v>
      </c>
      <c r="G120" t="s">
        <v>62</v>
      </c>
      <c r="H120" t="s">
        <v>401</v>
      </c>
      <c r="I120" t="s">
        <v>29</v>
      </c>
      <c r="J120" t="s">
        <v>30</v>
      </c>
      <c r="K120" t="s">
        <v>30</v>
      </c>
      <c r="L120" t="s">
        <v>30</v>
      </c>
      <c r="M120" t="s">
        <v>44</v>
      </c>
      <c r="N120">
        <v>9</v>
      </c>
      <c r="O120">
        <v>1</v>
      </c>
      <c r="P120">
        <v>0</v>
      </c>
      <c r="Q120">
        <v>559.2213790828109</v>
      </c>
      <c r="R120">
        <v>2.639392939623886</v>
      </c>
      <c r="S120">
        <v>211.875</v>
      </c>
      <c r="T120">
        <v>0</v>
      </c>
      <c r="U120">
        <v>0</v>
      </c>
      <c r="V120">
        <v>0</v>
      </c>
      <c r="W120">
        <v>8.128880142125638</v>
      </c>
      <c r="X120">
        <v>0</v>
      </c>
    </row>
    <row r="121" spans="1:24">
      <c r="A121" t="s">
        <v>402</v>
      </c>
      <c r="B121" t="s">
        <v>403</v>
      </c>
      <c r="C121" t="s">
        <v>26</v>
      </c>
      <c r="D121">
        <v>3.731</v>
      </c>
      <c r="E121">
        <v>3293</v>
      </c>
      <c r="F121">
        <v>24</v>
      </c>
      <c r="G121" t="s">
        <v>27</v>
      </c>
      <c r="H121" t="s">
        <v>404</v>
      </c>
      <c r="I121" t="s">
        <v>29</v>
      </c>
      <c r="J121" t="s">
        <v>30</v>
      </c>
      <c r="K121" t="s">
        <v>30</v>
      </c>
      <c r="L121" t="s">
        <v>30</v>
      </c>
      <c r="M121" t="s">
        <v>83</v>
      </c>
      <c r="N121">
        <v>9</v>
      </c>
      <c r="O121">
        <v>1</v>
      </c>
      <c r="P121">
        <v>0</v>
      </c>
      <c r="Q121">
        <v>882.6051996783705</v>
      </c>
      <c r="R121">
        <v>6.432591798445457</v>
      </c>
      <c r="S121">
        <v>137.2083333333333</v>
      </c>
      <c r="T121">
        <v>0</v>
      </c>
      <c r="U121">
        <v>0</v>
      </c>
      <c r="V121">
        <v>0</v>
      </c>
      <c r="W121">
        <v>8.099857910737585</v>
      </c>
      <c r="X121">
        <v>0</v>
      </c>
    </row>
    <row r="122" spans="1:24">
      <c r="A122" t="s">
        <v>405</v>
      </c>
      <c r="B122" t="s">
        <v>406</v>
      </c>
      <c r="C122" t="s">
        <v>35</v>
      </c>
      <c r="D122">
        <v>0.132</v>
      </c>
      <c r="E122">
        <v>2035</v>
      </c>
      <c r="F122">
        <v>1</v>
      </c>
      <c r="G122" t="s">
        <v>62</v>
      </c>
      <c r="H122" t="s">
        <v>407</v>
      </c>
      <c r="I122" t="s">
        <v>90</v>
      </c>
      <c r="J122" t="s">
        <v>30</v>
      </c>
      <c r="K122" t="s">
        <v>30</v>
      </c>
      <c r="L122" t="s">
        <v>31</v>
      </c>
      <c r="M122" t="s">
        <v>39</v>
      </c>
      <c r="N122">
        <v>10</v>
      </c>
      <c r="O122">
        <v>1</v>
      </c>
      <c r="P122">
        <v>0</v>
      </c>
      <c r="Q122">
        <v>15416.66666666667</v>
      </c>
      <c r="R122">
        <v>7.575757575757575</v>
      </c>
      <c r="S122">
        <v>2035</v>
      </c>
      <c r="T122">
        <v>0</v>
      </c>
      <c r="U122">
        <v>0</v>
      </c>
      <c r="V122">
        <v>0</v>
      </c>
      <c r="W122">
        <v>7.618742377670413</v>
      </c>
      <c r="X122">
        <v>1</v>
      </c>
    </row>
    <row r="123" spans="1:24">
      <c r="A123" t="s">
        <v>408</v>
      </c>
      <c r="B123" t="s">
        <v>409</v>
      </c>
      <c r="C123" t="s">
        <v>26</v>
      </c>
      <c r="D123">
        <v>3.913</v>
      </c>
      <c r="E123">
        <v>353</v>
      </c>
      <c r="F123">
        <v>15</v>
      </c>
      <c r="G123" t="s">
        <v>47</v>
      </c>
      <c r="H123" t="s">
        <v>410</v>
      </c>
      <c r="I123" t="s">
        <v>29</v>
      </c>
      <c r="J123" t="s">
        <v>31</v>
      </c>
      <c r="K123" t="s">
        <v>30</v>
      </c>
      <c r="L123" t="s">
        <v>30</v>
      </c>
      <c r="M123" t="s">
        <v>97</v>
      </c>
      <c r="N123">
        <v>10</v>
      </c>
      <c r="O123">
        <v>1</v>
      </c>
      <c r="P123">
        <v>0</v>
      </c>
      <c r="Q123">
        <v>90.21211346792742</v>
      </c>
      <c r="R123">
        <v>3.833375926399183</v>
      </c>
      <c r="S123">
        <v>23.53333333333333</v>
      </c>
      <c r="T123">
        <v>0</v>
      </c>
      <c r="U123">
        <v>0</v>
      </c>
      <c r="V123">
        <v>0</v>
      </c>
      <c r="W123">
        <v>5.869296913133774</v>
      </c>
      <c r="X123">
        <v>0</v>
      </c>
    </row>
    <row r="124" spans="1:24">
      <c r="A124" t="s">
        <v>411</v>
      </c>
      <c r="B124" t="s">
        <v>412</v>
      </c>
      <c r="C124" t="s">
        <v>35</v>
      </c>
      <c r="D124">
        <v>0.702</v>
      </c>
      <c r="E124">
        <v>3133</v>
      </c>
      <c r="F124">
        <v>12</v>
      </c>
      <c r="G124" t="s">
        <v>27</v>
      </c>
      <c r="H124" t="s">
        <v>413</v>
      </c>
      <c r="I124" t="s">
        <v>29</v>
      </c>
      <c r="J124" t="s">
        <v>30</v>
      </c>
      <c r="K124" t="s">
        <v>38</v>
      </c>
      <c r="L124" t="s">
        <v>30</v>
      </c>
      <c r="M124" t="s">
        <v>97</v>
      </c>
      <c r="N124">
        <v>10</v>
      </c>
      <c r="O124">
        <v>1</v>
      </c>
      <c r="P124">
        <v>0</v>
      </c>
      <c r="Q124">
        <v>4462.962962962964</v>
      </c>
      <c r="R124">
        <v>17.09401709401709</v>
      </c>
      <c r="S124">
        <v>261.0833333333333</v>
      </c>
      <c r="T124">
        <v>0</v>
      </c>
      <c r="U124">
        <v>0</v>
      </c>
      <c r="V124">
        <v>0</v>
      </c>
      <c r="W124">
        <v>8.050065422915965</v>
      </c>
      <c r="X124">
        <v>0</v>
      </c>
    </row>
    <row r="125" spans="1:24">
      <c r="A125" t="s">
        <v>414</v>
      </c>
      <c r="B125" t="s">
        <v>415</v>
      </c>
      <c r="C125" t="s">
        <v>35</v>
      </c>
      <c r="D125">
        <v>6.364</v>
      </c>
      <c r="E125">
        <v>3702</v>
      </c>
      <c r="F125">
        <v>14</v>
      </c>
      <c r="G125" t="s">
        <v>36</v>
      </c>
      <c r="H125" t="s">
        <v>416</v>
      </c>
      <c r="I125" t="s">
        <v>29</v>
      </c>
      <c r="J125" t="s">
        <v>38</v>
      </c>
      <c r="K125" t="s">
        <v>30</v>
      </c>
      <c r="L125" t="s">
        <v>30</v>
      </c>
      <c r="M125" t="s">
        <v>97</v>
      </c>
      <c r="N125">
        <v>10</v>
      </c>
      <c r="O125">
        <v>1</v>
      </c>
      <c r="P125">
        <v>0</v>
      </c>
      <c r="Q125">
        <v>581.7096165933375</v>
      </c>
      <c r="R125">
        <v>2.199874292897549</v>
      </c>
      <c r="S125">
        <v>264.4285714285714</v>
      </c>
      <c r="T125">
        <v>0</v>
      </c>
      <c r="U125">
        <v>0</v>
      </c>
      <c r="V125">
        <v>0</v>
      </c>
      <c r="W125">
        <v>8.216898580913613</v>
      </c>
      <c r="X125">
        <v>0</v>
      </c>
    </row>
    <row r="126" spans="1:24">
      <c r="A126" t="s">
        <v>417</v>
      </c>
      <c r="B126" t="s">
        <v>418</v>
      </c>
      <c r="C126" t="s">
        <v>26</v>
      </c>
      <c r="D126">
        <v>4.144</v>
      </c>
      <c r="E126">
        <v>5203</v>
      </c>
      <c r="F126">
        <v>23</v>
      </c>
      <c r="G126" t="s">
        <v>36</v>
      </c>
      <c r="H126" t="s">
        <v>419</v>
      </c>
      <c r="I126" t="s">
        <v>29</v>
      </c>
      <c r="J126" t="s">
        <v>38</v>
      </c>
      <c r="K126" t="s">
        <v>31</v>
      </c>
      <c r="L126" t="s">
        <v>30</v>
      </c>
      <c r="M126" t="s">
        <v>83</v>
      </c>
      <c r="N126">
        <v>10</v>
      </c>
      <c r="O126">
        <v>1</v>
      </c>
      <c r="P126">
        <v>0</v>
      </c>
      <c r="Q126">
        <v>1255.550193050193</v>
      </c>
      <c r="R126">
        <v>5.55019305019305</v>
      </c>
      <c r="S126">
        <v>226.2173913043478</v>
      </c>
      <c r="T126">
        <v>0</v>
      </c>
      <c r="U126">
        <v>0</v>
      </c>
      <c r="V126">
        <v>0</v>
      </c>
      <c r="W126">
        <v>8.557182839632397</v>
      </c>
      <c r="X126">
        <v>0</v>
      </c>
    </row>
    <row r="127" spans="1:24">
      <c r="A127" t="s">
        <v>420</v>
      </c>
      <c r="B127" t="s">
        <v>421</v>
      </c>
      <c r="C127" t="s">
        <v>26</v>
      </c>
      <c r="D127">
        <v>3.24</v>
      </c>
      <c r="E127">
        <v>2935</v>
      </c>
      <c r="F127">
        <v>14</v>
      </c>
      <c r="G127" t="s">
        <v>62</v>
      </c>
      <c r="H127" t="s">
        <v>422</v>
      </c>
      <c r="I127" t="s">
        <v>29</v>
      </c>
      <c r="J127" t="s">
        <v>30</v>
      </c>
      <c r="K127" t="s">
        <v>30</v>
      </c>
      <c r="L127" t="s">
        <v>31</v>
      </c>
      <c r="M127" t="s">
        <v>76</v>
      </c>
      <c r="N127">
        <v>10</v>
      </c>
      <c r="O127">
        <v>1</v>
      </c>
      <c r="P127">
        <v>0</v>
      </c>
      <c r="Q127">
        <v>905.864197530864</v>
      </c>
      <c r="R127">
        <v>4.320987654320987</v>
      </c>
      <c r="S127">
        <v>209.6428571428572</v>
      </c>
      <c r="T127">
        <v>0</v>
      </c>
      <c r="U127">
        <v>0</v>
      </c>
      <c r="V127">
        <v>0</v>
      </c>
      <c r="W127">
        <v>7.984803389734406</v>
      </c>
      <c r="X127">
        <v>0</v>
      </c>
    </row>
    <row r="128" spans="1:24">
      <c r="A128" t="s">
        <v>423</v>
      </c>
      <c r="B128" t="s">
        <v>424</v>
      </c>
      <c r="C128" t="s">
        <v>52</v>
      </c>
      <c r="D128">
        <v>4.391</v>
      </c>
      <c r="E128">
        <v>3954</v>
      </c>
      <c r="F128">
        <v>14</v>
      </c>
      <c r="G128" t="s">
        <v>36</v>
      </c>
      <c r="H128" t="s">
        <v>425</v>
      </c>
      <c r="I128" t="s">
        <v>29</v>
      </c>
      <c r="J128" t="s">
        <v>38</v>
      </c>
      <c r="K128" t="s">
        <v>30</v>
      </c>
      <c r="L128" t="s">
        <v>30</v>
      </c>
      <c r="M128" t="s">
        <v>83</v>
      </c>
      <c r="N128">
        <v>10</v>
      </c>
      <c r="O128">
        <v>1</v>
      </c>
      <c r="P128">
        <v>0</v>
      </c>
      <c r="Q128">
        <v>900.4782509678888</v>
      </c>
      <c r="R128">
        <v>3.188339785925757</v>
      </c>
      <c r="S128">
        <v>282.4285714285714</v>
      </c>
      <c r="T128">
        <v>0</v>
      </c>
      <c r="U128">
        <v>0</v>
      </c>
      <c r="V128">
        <v>0</v>
      </c>
      <c r="W128">
        <v>8.282735880201754</v>
      </c>
      <c r="X128">
        <v>0</v>
      </c>
    </row>
    <row r="129" spans="1:24">
      <c r="A129" t="s">
        <v>426</v>
      </c>
      <c r="B129" t="s">
        <v>427</v>
      </c>
      <c r="C129" t="s">
        <v>35</v>
      </c>
      <c r="D129">
        <v>3.763</v>
      </c>
      <c r="E129">
        <v>1080</v>
      </c>
      <c r="F129">
        <v>20</v>
      </c>
      <c r="G129" t="s">
        <v>62</v>
      </c>
      <c r="H129" t="s">
        <v>428</v>
      </c>
      <c r="I129" t="s">
        <v>29</v>
      </c>
      <c r="J129" t="s">
        <v>30</v>
      </c>
      <c r="K129" t="s">
        <v>38</v>
      </c>
      <c r="L129" t="s">
        <v>30</v>
      </c>
      <c r="M129" t="s">
        <v>83</v>
      </c>
      <c r="N129">
        <v>10</v>
      </c>
      <c r="O129">
        <v>1</v>
      </c>
      <c r="P129">
        <v>0</v>
      </c>
      <c r="Q129">
        <v>287.005049162902</v>
      </c>
      <c r="R129">
        <v>5.314908317831518</v>
      </c>
      <c r="S129">
        <v>54</v>
      </c>
      <c r="T129">
        <v>0</v>
      </c>
      <c r="U129">
        <v>0</v>
      </c>
      <c r="V129">
        <v>0</v>
      </c>
      <c r="W129">
        <v>6.985641817639208</v>
      </c>
      <c r="X129">
        <v>0</v>
      </c>
    </row>
    <row r="130" spans="1:24">
      <c r="A130" t="s">
        <v>429</v>
      </c>
      <c r="B130" t="s">
        <v>430</v>
      </c>
      <c r="C130" t="s">
        <v>52</v>
      </c>
      <c r="D130">
        <v>1.65</v>
      </c>
      <c r="E130">
        <v>416</v>
      </c>
      <c r="F130">
        <v>15</v>
      </c>
      <c r="G130" t="s">
        <v>27</v>
      </c>
      <c r="H130" t="s">
        <v>431</v>
      </c>
      <c r="I130" t="s">
        <v>29</v>
      </c>
      <c r="J130" t="s">
        <v>30</v>
      </c>
      <c r="K130" t="s">
        <v>31</v>
      </c>
      <c r="L130" t="s">
        <v>30</v>
      </c>
      <c r="M130" t="s">
        <v>39</v>
      </c>
      <c r="N130">
        <v>10</v>
      </c>
      <c r="O130">
        <v>1</v>
      </c>
      <c r="P130">
        <v>0</v>
      </c>
      <c r="Q130">
        <v>252.1212121212121</v>
      </c>
      <c r="R130">
        <v>9.090909090909092</v>
      </c>
      <c r="S130">
        <v>27.73333333333333</v>
      </c>
      <c r="T130">
        <v>0</v>
      </c>
      <c r="U130">
        <v>0</v>
      </c>
      <c r="V130">
        <v>0</v>
      </c>
      <c r="W130">
        <v>6.033086221798801</v>
      </c>
      <c r="X130">
        <v>0</v>
      </c>
    </row>
    <row r="131" spans="1:24">
      <c r="A131" t="s">
        <v>432</v>
      </c>
      <c r="B131" t="s">
        <v>433</v>
      </c>
      <c r="C131" t="s">
        <v>35</v>
      </c>
      <c r="D131">
        <v>0.724</v>
      </c>
      <c r="E131">
        <v>4190</v>
      </c>
      <c r="F131">
        <v>18</v>
      </c>
      <c r="G131" t="s">
        <v>47</v>
      </c>
      <c r="H131" t="s">
        <v>434</v>
      </c>
      <c r="I131" t="s">
        <v>29</v>
      </c>
      <c r="J131" t="s">
        <v>31</v>
      </c>
      <c r="K131" t="s">
        <v>31</v>
      </c>
      <c r="L131" t="s">
        <v>30</v>
      </c>
      <c r="M131" t="s">
        <v>97</v>
      </c>
      <c r="N131">
        <v>10</v>
      </c>
      <c r="O131">
        <v>1</v>
      </c>
      <c r="P131">
        <v>0</v>
      </c>
      <c r="Q131">
        <v>5787.292817679559</v>
      </c>
      <c r="R131">
        <v>24.86187845303868</v>
      </c>
      <c r="S131">
        <v>232.7777777777778</v>
      </c>
      <c r="T131">
        <v>0</v>
      </c>
      <c r="U131">
        <v>0</v>
      </c>
      <c r="V131">
        <v>0</v>
      </c>
      <c r="W131">
        <v>8.340694647925071</v>
      </c>
      <c r="X131">
        <v>0</v>
      </c>
    </row>
    <row r="132" spans="1:24">
      <c r="A132" t="s">
        <v>435</v>
      </c>
      <c r="B132" t="s">
        <v>436</v>
      </c>
      <c r="C132" t="s">
        <v>26</v>
      </c>
      <c r="D132">
        <v>6.098</v>
      </c>
      <c r="E132">
        <v>10422</v>
      </c>
      <c r="F132">
        <v>20</v>
      </c>
      <c r="G132" t="s">
        <v>27</v>
      </c>
      <c r="H132" t="s">
        <v>437</v>
      </c>
      <c r="I132" t="s">
        <v>29</v>
      </c>
      <c r="J132" t="s">
        <v>30</v>
      </c>
      <c r="K132" t="s">
        <v>30</v>
      </c>
      <c r="L132" t="s">
        <v>31</v>
      </c>
      <c r="M132" t="s">
        <v>39</v>
      </c>
      <c r="N132">
        <v>10</v>
      </c>
      <c r="O132">
        <v>1</v>
      </c>
      <c r="P132">
        <v>0</v>
      </c>
      <c r="Q132">
        <v>1709.084945883896</v>
      </c>
      <c r="R132">
        <v>3.279763857002296</v>
      </c>
      <c r="S132">
        <v>521.1</v>
      </c>
      <c r="T132">
        <v>0</v>
      </c>
      <c r="U132">
        <v>0</v>
      </c>
      <c r="V132">
        <v>1</v>
      </c>
      <c r="W132">
        <v>9.251770181739325</v>
      </c>
      <c r="X132">
        <v>0</v>
      </c>
    </row>
    <row r="133" spans="1:24">
      <c r="A133" t="s">
        <v>438</v>
      </c>
      <c r="B133" t="s">
        <v>439</v>
      </c>
      <c r="C133" t="s">
        <v>35</v>
      </c>
      <c r="D133">
        <v>2.729</v>
      </c>
      <c r="E133">
        <v>814</v>
      </c>
      <c r="F133">
        <v>22</v>
      </c>
      <c r="G133" t="s">
        <v>36</v>
      </c>
      <c r="H133" t="s">
        <v>440</v>
      </c>
      <c r="I133" t="s">
        <v>29</v>
      </c>
      <c r="J133" t="s">
        <v>38</v>
      </c>
      <c r="K133" t="s">
        <v>31</v>
      </c>
      <c r="L133" t="s">
        <v>30</v>
      </c>
      <c r="M133" t="s">
        <v>44</v>
      </c>
      <c r="N133">
        <v>10</v>
      </c>
      <c r="O133">
        <v>1</v>
      </c>
      <c r="P133">
        <v>0</v>
      </c>
      <c r="Q133">
        <v>298.2777574203005</v>
      </c>
      <c r="R133">
        <v>8.061561011359473</v>
      </c>
      <c r="S133">
        <v>37</v>
      </c>
      <c r="T133">
        <v>0</v>
      </c>
      <c r="U133">
        <v>0</v>
      </c>
      <c r="V133">
        <v>0</v>
      </c>
      <c r="W133">
        <v>6.703188113240863</v>
      </c>
      <c r="X133">
        <v>0</v>
      </c>
    </row>
    <row r="134" spans="1:24">
      <c r="A134" t="s">
        <v>441</v>
      </c>
      <c r="B134" t="s">
        <v>442</v>
      </c>
      <c r="C134" t="s">
        <v>26</v>
      </c>
      <c r="D134">
        <v>4.741</v>
      </c>
      <c r="E134">
        <v>8396</v>
      </c>
      <c r="F134">
        <v>17</v>
      </c>
      <c r="G134" t="s">
        <v>36</v>
      </c>
      <c r="H134" t="s">
        <v>443</v>
      </c>
      <c r="I134" t="s">
        <v>29</v>
      </c>
      <c r="J134" t="s">
        <v>38</v>
      </c>
      <c r="K134" t="s">
        <v>31</v>
      </c>
      <c r="L134" t="s">
        <v>31</v>
      </c>
      <c r="M134" t="s">
        <v>39</v>
      </c>
      <c r="N134">
        <v>11</v>
      </c>
      <c r="O134">
        <v>1</v>
      </c>
      <c r="P134">
        <v>0</v>
      </c>
      <c r="Q134">
        <v>1770.934402024889</v>
      </c>
      <c r="R134">
        <v>3.585741404766927</v>
      </c>
      <c r="S134">
        <v>493.8823529411765</v>
      </c>
      <c r="T134">
        <v>0</v>
      </c>
      <c r="U134">
        <v>0</v>
      </c>
      <c r="V134">
        <v>0</v>
      </c>
      <c r="W134">
        <v>9.035629778183564</v>
      </c>
      <c r="X134">
        <v>0</v>
      </c>
    </row>
    <row r="135" spans="1:24">
      <c r="A135" t="s">
        <v>444</v>
      </c>
      <c r="B135" t="s">
        <v>445</v>
      </c>
      <c r="C135" t="s">
        <v>35</v>
      </c>
      <c r="D135">
        <v>2.96</v>
      </c>
      <c r="E135">
        <v>473</v>
      </c>
      <c r="F135">
        <v>12</v>
      </c>
      <c r="G135" t="s">
        <v>62</v>
      </c>
      <c r="H135" t="s">
        <v>446</v>
      </c>
      <c r="I135" t="s">
        <v>29</v>
      </c>
      <c r="J135" t="s">
        <v>30</v>
      </c>
      <c r="K135" t="s">
        <v>38</v>
      </c>
      <c r="L135" t="s">
        <v>30</v>
      </c>
      <c r="M135" t="s">
        <v>83</v>
      </c>
      <c r="N135">
        <v>11</v>
      </c>
      <c r="O135">
        <v>1</v>
      </c>
      <c r="P135">
        <v>0</v>
      </c>
      <c r="Q135">
        <v>159.7972972972973</v>
      </c>
      <c r="R135">
        <v>4.054054054054054</v>
      </c>
      <c r="S135">
        <v>39.41666666666666</v>
      </c>
      <c r="T135">
        <v>0</v>
      </c>
      <c r="U135">
        <v>0</v>
      </c>
      <c r="V135">
        <v>0</v>
      </c>
      <c r="W135">
        <v>6.161207321695077</v>
      </c>
      <c r="X135">
        <v>0</v>
      </c>
    </row>
    <row r="136" spans="1:24">
      <c r="A136" t="s">
        <v>447</v>
      </c>
      <c r="B136" t="s">
        <v>448</v>
      </c>
      <c r="C136" t="s">
        <v>35</v>
      </c>
      <c r="D136">
        <v>5.296</v>
      </c>
      <c r="E136">
        <v>3176</v>
      </c>
      <c r="F136">
        <v>17</v>
      </c>
      <c r="G136" t="s">
        <v>36</v>
      </c>
      <c r="H136" t="s">
        <v>449</v>
      </c>
      <c r="I136" t="s">
        <v>29</v>
      </c>
      <c r="J136" t="s">
        <v>38</v>
      </c>
      <c r="K136" t="s">
        <v>30</v>
      </c>
      <c r="L136" t="s">
        <v>30</v>
      </c>
      <c r="M136" t="s">
        <v>39</v>
      </c>
      <c r="N136">
        <v>11</v>
      </c>
      <c r="O136">
        <v>1</v>
      </c>
      <c r="P136">
        <v>0</v>
      </c>
      <c r="Q136">
        <v>599.6978851963746</v>
      </c>
      <c r="R136">
        <v>3.209969788519637</v>
      </c>
      <c r="S136">
        <v>186.8235294117647</v>
      </c>
      <c r="T136">
        <v>0</v>
      </c>
      <c r="U136">
        <v>0</v>
      </c>
      <c r="V136">
        <v>0</v>
      </c>
      <c r="W136">
        <v>8.063692634269517</v>
      </c>
      <c r="X136">
        <v>0</v>
      </c>
    </row>
    <row r="137" spans="1:24">
      <c r="A137" t="s">
        <v>450</v>
      </c>
      <c r="B137" t="s">
        <v>451</v>
      </c>
      <c r="C137" t="s">
        <v>35</v>
      </c>
      <c r="D137">
        <v>5.202</v>
      </c>
      <c r="E137">
        <v>750</v>
      </c>
      <c r="F137">
        <v>16</v>
      </c>
      <c r="G137" t="s">
        <v>62</v>
      </c>
      <c r="H137" t="s">
        <v>452</v>
      </c>
      <c r="I137" t="s">
        <v>29</v>
      </c>
      <c r="J137" t="s">
        <v>30</v>
      </c>
      <c r="K137" t="s">
        <v>30</v>
      </c>
      <c r="L137" t="s">
        <v>30</v>
      </c>
      <c r="M137" t="s">
        <v>76</v>
      </c>
      <c r="N137">
        <v>11</v>
      </c>
      <c r="O137">
        <v>1</v>
      </c>
      <c r="P137">
        <v>0</v>
      </c>
      <c r="Q137">
        <v>144.1753171856978</v>
      </c>
      <c r="R137">
        <v>3.075740099961553</v>
      </c>
      <c r="S137">
        <v>46.875</v>
      </c>
      <c r="T137">
        <v>0</v>
      </c>
      <c r="U137">
        <v>0</v>
      </c>
      <c r="V137">
        <v>0</v>
      </c>
      <c r="W137">
        <v>6.621405651764134</v>
      </c>
      <c r="X137">
        <v>0</v>
      </c>
    </row>
    <row r="138" spans="1:24">
      <c r="A138" t="s">
        <v>453</v>
      </c>
      <c r="B138" t="s">
        <v>454</v>
      </c>
      <c r="C138" t="s">
        <v>35</v>
      </c>
      <c r="D138">
        <v>1.79</v>
      </c>
      <c r="E138">
        <v>1205</v>
      </c>
      <c r="F138">
        <v>16</v>
      </c>
      <c r="G138" t="s">
        <v>47</v>
      </c>
      <c r="H138" t="s">
        <v>455</v>
      </c>
      <c r="I138" t="s">
        <v>29</v>
      </c>
      <c r="J138" t="s">
        <v>31</v>
      </c>
      <c r="K138" t="s">
        <v>31</v>
      </c>
      <c r="L138" t="s">
        <v>30</v>
      </c>
      <c r="M138" t="s">
        <v>44</v>
      </c>
      <c r="N138">
        <v>11</v>
      </c>
      <c r="O138">
        <v>1</v>
      </c>
      <c r="P138">
        <v>0</v>
      </c>
      <c r="Q138">
        <v>673.1843575418994</v>
      </c>
      <c r="R138">
        <v>8.938547486033519</v>
      </c>
      <c r="S138">
        <v>75.3125</v>
      </c>
      <c r="T138">
        <v>0</v>
      </c>
      <c r="U138">
        <v>0</v>
      </c>
      <c r="V138">
        <v>0</v>
      </c>
      <c r="W138">
        <v>7.095064377287131</v>
      </c>
      <c r="X138">
        <v>0</v>
      </c>
    </row>
    <row r="139" spans="1:24">
      <c r="A139" t="s">
        <v>456</v>
      </c>
      <c r="B139" t="s">
        <v>457</v>
      </c>
      <c r="C139" t="s">
        <v>35</v>
      </c>
      <c r="D139">
        <v>2.951</v>
      </c>
      <c r="E139">
        <v>4886</v>
      </c>
      <c r="F139">
        <v>16</v>
      </c>
      <c r="G139" t="s">
        <v>36</v>
      </c>
      <c r="H139" t="s">
        <v>458</v>
      </c>
      <c r="I139" t="s">
        <v>29</v>
      </c>
      <c r="J139" t="s">
        <v>38</v>
      </c>
      <c r="K139" t="s">
        <v>30</v>
      </c>
      <c r="L139" t="s">
        <v>30</v>
      </c>
      <c r="M139" t="s">
        <v>97</v>
      </c>
      <c r="N139">
        <v>11</v>
      </c>
      <c r="O139">
        <v>1</v>
      </c>
      <c r="P139">
        <v>0</v>
      </c>
      <c r="Q139">
        <v>1655.709928837682</v>
      </c>
      <c r="R139">
        <v>5.421890884445951</v>
      </c>
      <c r="S139">
        <v>305.375</v>
      </c>
      <c r="T139">
        <v>0</v>
      </c>
      <c r="U139">
        <v>0</v>
      </c>
      <c r="V139">
        <v>0</v>
      </c>
      <c r="W139">
        <v>8.494333897270154</v>
      </c>
      <c r="X139">
        <v>0</v>
      </c>
    </row>
    <row r="140" spans="1:24">
      <c r="A140" t="s">
        <v>459</v>
      </c>
      <c r="B140" t="s">
        <v>460</v>
      </c>
      <c r="C140" t="s">
        <v>35</v>
      </c>
      <c r="D140">
        <v>11.208</v>
      </c>
      <c r="E140">
        <v>438</v>
      </c>
      <c r="F140">
        <v>23</v>
      </c>
      <c r="G140" t="s">
        <v>62</v>
      </c>
      <c r="H140" t="s">
        <v>461</v>
      </c>
      <c r="I140" t="s">
        <v>29</v>
      </c>
      <c r="J140" t="s">
        <v>30</v>
      </c>
      <c r="K140" t="s">
        <v>38</v>
      </c>
      <c r="L140" t="s">
        <v>30</v>
      </c>
      <c r="M140" t="s">
        <v>44</v>
      </c>
      <c r="N140">
        <v>11</v>
      </c>
      <c r="O140">
        <v>1</v>
      </c>
      <c r="P140">
        <v>0</v>
      </c>
      <c r="Q140">
        <v>39.07922912205567</v>
      </c>
      <c r="R140">
        <v>2.052105638829408</v>
      </c>
      <c r="S140">
        <v>19.04347826086957</v>
      </c>
      <c r="T140">
        <v>0</v>
      </c>
      <c r="U140">
        <v>0</v>
      </c>
      <c r="V140">
        <v>0</v>
      </c>
      <c r="W140">
        <v>6.084499413075172</v>
      </c>
      <c r="X140">
        <v>0</v>
      </c>
    </row>
    <row r="141" spans="1:24">
      <c r="A141" t="s">
        <v>462</v>
      </c>
      <c r="B141" t="s">
        <v>463</v>
      </c>
      <c r="C141" t="s">
        <v>26</v>
      </c>
      <c r="D141">
        <v>2.284</v>
      </c>
      <c r="E141">
        <v>1618</v>
      </c>
      <c r="F141">
        <v>19</v>
      </c>
      <c r="G141" t="s">
        <v>47</v>
      </c>
      <c r="H141" t="s">
        <v>464</v>
      </c>
      <c r="I141" t="s">
        <v>29</v>
      </c>
      <c r="J141" t="s">
        <v>31</v>
      </c>
      <c r="K141" t="s">
        <v>30</v>
      </c>
      <c r="L141" t="s">
        <v>30</v>
      </c>
      <c r="M141" t="s">
        <v>44</v>
      </c>
      <c r="N141">
        <v>11</v>
      </c>
      <c r="O141">
        <v>1</v>
      </c>
      <c r="P141">
        <v>0</v>
      </c>
      <c r="Q141">
        <v>708.4063047285465</v>
      </c>
      <c r="R141">
        <v>8.318739054290718</v>
      </c>
      <c r="S141">
        <v>85.15789473684211</v>
      </c>
      <c r="T141">
        <v>0</v>
      </c>
      <c r="U141">
        <v>0</v>
      </c>
      <c r="V141">
        <v>0</v>
      </c>
      <c r="W141">
        <v>7.389563953677635</v>
      </c>
      <c r="X141">
        <v>0</v>
      </c>
    </row>
    <row r="142" spans="1:24">
      <c r="A142" t="s">
        <v>465</v>
      </c>
      <c r="B142" t="s">
        <v>466</v>
      </c>
      <c r="C142" t="s">
        <v>130</v>
      </c>
      <c r="D142">
        <v>1.217</v>
      </c>
      <c r="E142">
        <v>1384</v>
      </c>
      <c r="F142">
        <v>15</v>
      </c>
      <c r="G142" t="s">
        <v>47</v>
      </c>
      <c r="H142" t="s">
        <v>467</v>
      </c>
      <c r="I142" t="s">
        <v>29</v>
      </c>
      <c r="J142" t="s">
        <v>31</v>
      </c>
      <c r="K142" t="s">
        <v>30</v>
      </c>
      <c r="L142" t="s">
        <v>30</v>
      </c>
      <c r="M142" t="s">
        <v>39</v>
      </c>
      <c r="N142">
        <v>11</v>
      </c>
      <c r="O142">
        <v>1</v>
      </c>
      <c r="P142">
        <v>0</v>
      </c>
      <c r="Q142">
        <v>1137.222678718159</v>
      </c>
      <c r="R142">
        <v>12.32539030402629</v>
      </c>
      <c r="S142">
        <v>92.26666666666668</v>
      </c>
      <c r="T142">
        <v>0</v>
      </c>
      <c r="U142">
        <v>0</v>
      </c>
      <c r="V142">
        <v>0</v>
      </c>
      <c r="W142">
        <v>7.233455418621439</v>
      </c>
      <c r="X142">
        <v>0</v>
      </c>
    </row>
    <row r="143" spans="1:24">
      <c r="A143" t="s">
        <v>468</v>
      </c>
      <c r="B143" t="s">
        <v>469</v>
      </c>
      <c r="C143" t="s">
        <v>26</v>
      </c>
      <c r="D143">
        <v>0.86</v>
      </c>
      <c r="E143">
        <v>12732</v>
      </c>
      <c r="F143">
        <v>95</v>
      </c>
      <c r="G143" t="s">
        <v>27</v>
      </c>
      <c r="H143" t="s">
        <v>470</v>
      </c>
      <c r="I143" t="s">
        <v>49</v>
      </c>
      <c r="J143" t="s">
        <v>30</v>
      </c>
      <c r="K143" t="s">
        <v>31</v>
      </c>
      <c r="L143" t="s">
        <v>31</v>
      </c>
      <c r="M143" t="s">
        <v>44</v>
      </c>
      <c r="N143">
        <v>11</v>
      </c>
      <c r="O143">
        <v>1</v>
      </c>
      <c r="P143">
        <v>0</v>
      </c>
      <c r="Q143">
        <v>14804.6511627907</v>
      </c>
      <c r="R143">
        <v>110.4651162790698</v>
      </c>
      <c r="S143">
        <v>134.021052631579</v>
      </c>
      <c r="T143">
        <v>0</v>
      </c>
      <c r="U143">
        <v>0</v>
      </c>
      <c r="V143">
        <v>1</v>
      </c>
      <c r="W143">
        <v>9.451952327573435</v>
      </c>
      <c r="X143">
        <v>1</v>
      </c>
    </row>
    <row r="144" spans="1:24">
      <c r="A144" t="s">
        <v>471</v>
      </c>
      <c r="B144" t="s">
        <v>472</v>
      </c>
      <c r="C144" t="s">
        <v>130</v>
      </c>
      <c r="D144">
        <v>4.384</v>
      </c>
      <c r="E144">
        <v>1677</v>
      </c>
      <c r="F144">
        <v>10</v>
      </c>
      <c r="G144" t="s">
        <v>27</v>
      </c>
      <c r="H144" t="s">
        <v>473</v>
      </c>
      <c r="I144" t="s">
        <v>29</v>
      </c>
      <c r="J144" t="s">
        <v>30</v>
      </c>
      <c r="K144" t="s">
        <v>31</v>
      </c>
      <c r="L144" t="s">
        <v>31</v>
      </c>
      <c r="M144" t="s">
        <v>44</v>
      </c>
      <c r="N144">
        <v>11</v>
      </c>
      <c r="O144">
        <v>1</v>
      </c>
      <c r="P144">
        <v>0</v>
      </c>
      <c r="Q144">
        <v>382.5273722627737</v>
      </c>
      <c r="R144">
        <v>2.281021897810219</v>
      </c>
      <c r="S144">
        <v>167.7</v>
      </c>
      <c r="T144">
        <v>0</v>
      </c>
      <c r="U144">
        <v>0</v>
      </c>
      <c r="V144">
        <v>0</v>
      </c>
      <c r="W144">
        <v>7.425357887027151</v>
      </c>
      <c r="X144">
        <v>0</v>
      </c>
    </row>
    <row r="145" spans="1:24">
      <c r="A145" t="s">
        <v>474</v>
      </c>
      <c r="B145" t="s">
        <v>475</v>
      </c>
      <c r="C145" t="s">
        <v>130</v>
      </c>
      <c r="D145">
        <v>1.352</v>
      </c>
      <c r="E145">
        <v>8681</v>
      </c>
      <c r="F145">
        <v>10</v>
      </c>
      <c r="G145" t="s">
        <v>62</v>
      </c>
      <c r="H145" t="s">
        <v>476</v>
      </c>
      <c r="I145" t="s">
        <v>29</v>
      </c>
      <c r="J145" t="s">
        <v>30</v>
      </c>
      <c r="K145" t="s">
        <v>31</v>
      </c>
      <c r="L145" t="s">
        <v>30</v>
      </c>
      <c r="M145" t="s">
        <v>32</v>
      </c>
      <c r="N145">
        <v>11</v>
      </c>
      <c r="O145">
        <v>1</v>
      </c>
      <c r="P145">
        <v>0</v>
      </c>
      <c r="Q145">
        <v>6420.85798816568</v>
      </c>
      <c r="R145">
        <v>7.396449704142011</v>
      </c>
      <c r="S145">
        <v>868.1</v>
      </c>
      <c r="T145">
        <v>0</v>
      </c>
      <c r="U145">
        <v>0</v>
      </c>
      <c r="V145">
        <v>0</v>
      </c>
      <c r="W145">
        <v>9.069007195859539</v>
      </c>
      <c r="X145">
        <v>0</v>
      </c>
    </row>
    <row r="146" spans="1:24">
      <c r="A146" t="s">
        <v>477</v>
      </c>
      <c r="B146" t="s">
        <v>478</v>
      </c>
      <c r="C146" t="s">
        <v>26</v>
      </c>
      <c r="D146">
        <v>7.488</v>
      </c>
      <c r="E146">
        <v>3700</v>
      </c>
      <c r="F146">
        <v>16</v>
      </c>
      <c r="G146" t="s">
        <v>47</v>
      </c>
      <c r="H146" t="s">
        <v>479</v>
      </c>
      <c r="I146" t="s">
        <v>29</v>
      </c>
      <c r="J146" t="s">
        <v>31</v>
      </c>
      <c r="K146" t="s">
        <v>30</v>
      </c>
      <c r="L146" t="s">
        <v>30</v>
      </c>
      <c r="M146" t="s">
        <v>44</v>
      </c>
      <c r="N146">
        <v>12</v>
      </c>
      <c r="O146">
        <v>1</v>
      </c>
      <c r="P146">
        <v>0</v>
      </c>
      <c r="Q146">
        <v>494.1239316239316</v>
      </c>
      <c r="R146">
        <v>2.136752136752137</v>
      </c>
      <c r="S146">
        <v>231.25</v>
      </c>
      <c r="T146">
        <v>0</v>
      </c>
      <c r="U146">
        <v>0</v>
      </c>
      <c r="V146">
        <v>0</v>
      </c>
      <c r="W146">
        <v>8.216358332386156</v>
      </c>
      <c r="X146">
        <v>0</v>
      </c>
    </row>
    <row r="147" spans="1:24">
      <c r="A147" t="s">
        <v>480</v>
      </c>
      <c r="B147" t="s">
        <v>481</v>
      </c>
      <c r="C147" t="s">
        <v>35</v>
      </c>
      <c r="D147">
        <v>4.56</v>
      </c>
      <c r="E147">
        <v>4551</v>
      </c>
      <c r="F147">
        <v>22</v>
      </c>
      <c r="G147" t="s">
        <v>27</v>
      </c>
      <c r="H147" t="s">
        <v>482</v>
      </c>
      <c r="I147" t="s">
        <v>29</v>
      </c>
      <c r="J147" t="s">
        <v>30</v>
      </c>
      <c r="K147" t="s">
        <v>31</v>
      </c>
      <c r="L147" t="s">
        <v>31</v>
      </c>
      <c r="M147" t="s">
        <v>76</v>
      </c>
      <c r="N147">
        <v>12</v>
      </c>
      <c r="O147">
        <v>1</v>
      </c>
      <c r="P147">
        <v>0</v>
      </c>
      <c r="Q147">
        <v>998.0263157894738</v>
      </c>
      <c r="R147">
        <v>4.824561403508772</v>
      </c>
      <c r="S147">
        <v>206.8636363636364</v>
      </c>
      <c r="T147">
        <v>0</v>
      </c>
      <c r="U147">
        <v>0</v>
      </c>
      <c r="V147">
        <v>0</v>
      </c>
      <c r="W147">
        <v>8.423321975806166</v>
      </c>
      <c r="X147">
        <v>0</v>
      </c>
    </row>
    <row r="148" spans="1:24">
      <c r="A148" t="s">
        <v>483</v>
      </c>
      <c r="B148" t="s">
        <v>484</v>
      </c>
      <c r="C148" t="s">
        <v>35</v>
      </c>
      <c r="D148">
        <v>6.278</v>
      </c>
      <c r="E148">
        <v>1526</v>
      </c>
      <c r="F148">
        <v>18</v>
      </c>
      <c r="G148" t="s">
        <v>47</v>
      </c>
      <c r="H148" t="s">
        <v>485</v>
      </c>
      <c r="I148" t="s">
        <v>29</v>
      </c>
      <c r="J148" t="s">
        <v>31</v>
      </c>
      <c r="K148" t="s">
        <v>30</v>
      </c>
      <c r="L148" t="s">
        <v>30</v>
      </c>
      <c r="M148" t="s">
        <v>97</v>
      </c>
      <c r="N148">
        <v>12</v>
      </c>
      <c r="O148">
        <v>1</v>
      </c>
      <c r="P148">
        <v>0</v>
      </c>
      <c r="Q148">
        <v>243.071041733036</v>
      </c>
      <c r="R148">
        <v>2.867155144950622</v>
      </c>
      <c r="S148">
        <v>84.77777777777777</v>
      </c>
      <c r="T148">
        <v>0</v>
      </c>
      <c r="U148">
        <v>0</v>
      </c>
      <c r="V148">
        <v>0</v>
      </c>
      <c r="W148">
        <v>7.331060305218632</v>
      </c>
      <c r="X148">
        <v>0</v>
      </c>
    </row>
    <row r="149" spans="1:24">
      <c r="A149" t="s">
        <v>486</v>
      </c>
      <c r="B149" t="s">
        <v>487</v>
      </c>
      <c r="C149" t="s">
        <v>26</v>
      </c>
      <c r="D149">
        <v>3.498</v>
      </c>
      <c r="E149">
        <v>389</v>
      </c>
      <c r="F149">
        <v>14</v>
      </c>
      <c r="G149" t="s">
        <v>27</v>
      </c>
      <c r="H149" t="s">
        <v>488</v>
      </c>
      <c r="I149" t="s">
        <v>29</v>
      </c>
      <c r="J149" t="s">
        <v>30</v>
      </c>
      <c r="K149" t="s">
        <v>30</v>
      </c>
      <c r="L149" t="s">
        <v>30</v>
      </c>
      <c r="M149" t="s">
        <v>44</v>
      </c>
      <c r="N149">
        <v>12</v>
      </c>
      <c r="O149">
        <v>1</v>
      </c>
      <c r="P149">
        <v>0</v>
      </c>
      <c r="Q149">
        <v>111.2064036592338</v>
      </c>
      <c r="R149">
        <v>4.002287021154945</v>
      </c>
      <c r="S149">
        <v>27.78571428571428</v>
      </c>
      <c r="T149">
        <v>0</v>
      </c>
      <c r="U149">
        <v>0</v>
      </c>
      <c r="V149">
        <v>0</v>
      </c>
      <c r="W149">
        <v>5.966146739123692</v>
      </c>
      <c r="X149">
        <v>0</v>
      </c>
    </row>
    <row r="150" spans="1:24">
      <c r="A150" t="s">
        <v>489</v>
      </c>
      <c r="B150" t="s">
        <v>490</v>
      </c>
      <c r="C150" t="s">
        <v>35</v>
      </c>
      <c r="D150">
        <v>2.794</v>
      </c>
      <c r="E150">
        <v>1488</v>
      </c>
      <c r="F150">
        <v>14</v>
      </c>
      <c r="G150" t="s">
        <v>47</v>
      </c>
      <c r="H150" t="s">
        <v>491</v>
      </c>
      <c r="I150" t="s">
        <v>29</v>
      </c>
      <c r="J150" t="s">
        <v>31</v>
      </c>
      <c r="K150" t="s">
        <v>30</v>
      </c>
      <c r="L150" t="s">
        <v>30</v>
      </c>
      <c r="M150" t="s">
        <v>97</v>
      </c>
      <c r="N150">
        <v>12</v>
      </c>
      <c r="O150">
        <v>1</v>
      </c>
      <c r="P150">
        <v>0</v>
      </c>
      <c r="Q150">
        <v>532.569792412312</v>
      </c>
      <c r="R150">
        <v>5.010737294201861</v>
      </c>
      <c r="S150">
        <v>106.2857142857143</v>
      </c>
      <c r="T150">
        <v>0</v>
      </c>
      <c r="U150">
        <v>0</v>
      </c>
      <c r="V150">
        <v>0</v>
      </c>
      <c r="W150">
        <v>7.305860032684009</v>
      </c>
      <c r="X150">
        <v>0</v>
      </c>
    </row>
    <row r="151" spans="1:24">
      <c r="A151" t="s">
        <v>492</v>
      </c>
      <c r="B151" t="s">
        <v>493</v>
      </c>
      <c r="C151" t="s">
        <v>26</v>
      </c>
      <c r="D151">
        <v>3.188</v>
      </c>
      <c r="E151">
        <v>2572</v>
      </c>
      <c r="F151">
        <v>19</v>
      </c>
      <c r="G151" t="s">
        <v>62</v>
      </c>
      <c r="H151" t="s">
        <v>494</v>
      </c>
      <c r="I151" t="s">
        <v>29</v>
      </c>
      <c r="J151" t="s">
        <v>30</v>
      </c>
      <c r="K151" t="s">
        <v>38</v>
      </c>
      <c r="L151" t="s">
        <v>31</v>
      </c>
      <c r="M151" t="s">
        <v>44</v>
      </c>
      <c r="N151">
        <v>12</v>
      </c>
      <c r="O151">
        <v>1</v>
      </c>
      <c r="P151">
        <v>0</v>
      </c>
      <c r="Q151">
        <v>806.7754077791718</v>
      </c>
      <c r="R151">
        <v>5.959849435382685</v>
      </c>
      <c r="S151">
        <v>135.3684210526316</v>
      </c>
      <c r="T151">
        <v>0</v>
      </c>
      <c r="U151">
        <v>0</v>
      </c>
      <c r="V151">
        <v>0</v>
      </c>
      <c r="W151">
        <v>7.852827812281744</v>
      </c>
      <c r="X151">
        <v>0</v>
      </c>
    </row>
    <row r="152" spans="1:24">
      <c r="A152" t="s">
        <v>495</v>
      </c>
      <c r="B152" t="s">
        <v>496</v>
      </c>
      <c r="C152" t="s">
        <v>35</v>
      </c>
      <c r="D152">
        <v>0.545</v>
      </c>
      <c r="E152">
        <v>11379</v>
      </c>
      <c r="F152">
        <v>31</v>
      </c>
      <c r="G152" t="s">
        <v>62</v>
      </c>
      <c r="H152" t="s">
        <v>497</v>
      </c>
      <c r="I152" t="s">
        <v>29</v>
      </c>
      <c r="J152" t="s">
        <v>30</v>
      </c>
      <c r="K152" t="s">
        <v>30</v>
      </c>
      <c r="L152" t="s">
        <v>31</v>
      </c>
      <c r="M152" t="s">
        <v>44</v>
      </c>
      <c r="N152">
        <v>12</v>
      </c>
      <c r="O152">
        <v>1</v>
      </c>
      <c r="P152">
        <v>0</v>
      </c>
      <c r="Q152">
        <v>20878.89908256881</v>
      </c>
      <c r="R152">
        <v>56.88073394495412</v>
      </c>
      <c r="S152">
        <v>367.0645161290323</v>
      </c>
      <c r="T152">
        <v>0</v>
      </c>
      <c r="U152">
        <v>0</v>
      </c>
      <c r="V152">
        <v>1</v>
      </c>
      <c r="W152">
        <v>9.339612707680322</v>
      </c>
      <c r="X152">
        <v>0</v>
      </c>
    </row>
    <row r="153" spans="1:24">
      <c r="A153" t="s">
        <v>498</v>
      </c>
      <c r="B153" t="s">
        <v>499</v>
      </c>
      <c r="C153" t="s">
        <v>35</v>
      </c>
      <c r="D153">
        <v>3.498</v>
      </c>
      <c r="E153">
        <v>1604</v>
      </c>
      <c r="F153">
        <v>20</v>
      </c>
      <c r="G153" t="s">
        <v>36</v>
      </c>
      <c r="H153" t="s">
        <v>500</v>
      </c>
      <c r="I153" t="s">
        <v>29</v>
      </c>
      <c r="J153" t="s">
        <v>38</v>
      </c>
      <c r="K153" t="s">
        <v>30</v>
      </c>
      <c r="L153" t="s">
        <v>31</v>
      </c>
      <c r="M153" t="s">
        <v>44</v>
      </c>
      <c r="N153">
        <v>12</v>
      </c>
      <c r="O153">
        <v>1</v>
      </c>
      <c r="P153">
        <v>0</v>
      </c>
      <c r="Q153">
        <v>458.5477415666095</v>
      </c>
      <c r="R153">
        <v>5.717552887364207</v>
      </c>
      <c r="S153">
        <v>80.2</v>
      </c>
      <c r="T153">
        <v>0</v>
      </c>
      <c r="U153">
        <v>0</v>
      </c>
      <c r="V153">
        <v>0</v>
      </c>
      <c r="W153">
        <v>7.380879035564116</v>
      </c>
      <c r="X153">
        <v>0</v>
      </c>
    </row>
    <row r="154" spans="1:24">
      <c r="A154" t="s">
        <v>501</v>
      </c>
      <c r="B154" t="s">
        <v>502</v>
      </c>
      <c r="C154" t="s">
        <v>35</v>
      </c>
      <c r="D154">
        <v>4.878</v>
      </c>
      <c r="E154">
        <v>3011</v>
      </c>
      <c r="F154">
        <v>23</v>
      </c>
      <c r="G154" t="s">
        <v>47</v>
      </c>
      <c r="H154" t="s">
        <v>503</v>
      </c>
      <c r="I154" t="s">
        <v>29</v>
      </c>
      <c r="J154" t="s">
        <v>31</v>
      </c>
      <c r="K154" t="s">
        <v>31</v>
      </c>
      <c r="L154" t="s">
        <v>31</v>
      </c>
      <c r="M154" t="s">
        <v>44</v>
      </c>
      <c r="N154">
        <v>12</v>
      </c>
      <c r="O154">
        <v>1</v>
      </c>
      <c r="P154">
        <v>0</v>
      </c>
      <c r="Q154">
        <v>617.2611726117261</v>
      </c>
      <c r="R154">
        <v>4.715047150471505</v>
      </c>
      <c r="S154">
        <v>130.9130434782609</v>
      </c>
      <c r="T154">
        <v>0</v>
      </c>
      <c r="U154">
        <v>0</v>
      </c>
      <c r="V154">
        <v>0</v>
      </c>
      <c r="W154">
        <v>8.010359588919783</v>
      </c>
      <c r="X154">
        <v>0</v>
      </c>
    </row>
    <row r="155" spans="1:24">
      <c r="A155" t="s">
        <v>504</v>
      </c>
      <c r="B155" t="s">
        <v>505</v>
      </c>
      <c r="C155" t="s">
        <v>35</v>
      </c>
      <c r="D155">
        <v>2.394</v>
      </c>
      <c r="E155">
        <v>8688</v>
      </c>
      <c r="F155">
        <v>25</v>
      </c>
      <c r="G155" t="s">
        <v>47</v>
      </c>
      <c r="H155" t="s">
        <v>506</v>
      </c>
      <c r="I155" t="s">
        <v>29</v>
      </c>
      <c r="J155" t="s">
        <v>31</v>
      </c>
      <c r="K155" t="s">
        <v>30</v>
      </c>
      <c r="L155" t="s">
        <v>30</v>
      </c>
      <c r="M155" t="s">
        <v>44</v>
      </c>
      <c r="N155">
        <v>12</v>
      </c>
      <c r="O155">
        <v>1</v>
      </c>
      <c r="P155">
        <v>0</v>
      </c>
      <c r="Q155">
        <v>3629.072681704261</v>
      </c>
      <c r="R155">
        <v>10.44277360066834</v>
      </c>
      <c r="S155">
        <v>347.52</v>
      </c>
      <c r="T155">
        <v>0</v>
      </c>
      <c r="U155">
        <v>0</v>
      </c>
      <c r="V155">
        <v>0</v>
      </c>
      <c r="W155">
        <v>9.069813136839208</v>
      </c>
      <c r="X155">
        <v>0</v>
      </c>
    </row>
    <row r="156" spans="1:24">
      <c r="A156" t="s">
        <v>507</v>
      </c>
      <c r="B156" t="s">
        <v>508</v>
      </c>
      <c r="C156" t="s">
        <v>26</v>
      </c>
      <c r="D156">
        <v>0.046</v>
      </c>
      <c r="E156">
        <v>4242</v>
      </c>
      <c r="F156">
        <v>3</v>
      </c>
      <c r="G156" t="s">
        <v>36</v>
      </c>
      <c r="H156" t="s">
        <v>509</v>
      </c>
      <c r="I156" t="s">
        <v>90</v>
      </c>
      <c r="J156" t="s">
        <v>38</v>
      </c>
      <c r="K156" t="s">
        <v>30</v>
      </c>
      <c r="L156" t="s">
        <v>30</v>
      </c>
      <c r="M156" t="s">
        <v>32</v>
      </c>
      <c r="N156">
        <v>12</v>
      </c>
      <c r="O156">
        <v>1</v>
      </c>
      <c r="P156">
        <v>0</v>
      </c>
      <c r="Q156">
        <v>92217.39130434782</v>
      </c>
      <c r="R156">
        <v>65.21739130434783</v>
      </c>
      <c r="S156">
        <v>1414</v>
      </c>
      <c r="T156">
        <v>0</v>
      </c>
      <c r="U156">
        <v>0</v>
      </c>
      <c r="V156">
        <v>0</v>
      </c>
      <c r="W156">
        <v>8.353025845202325</v>
      </c>
      <c r="X156">
        <v>1</v>
      </c>
    </row>
    <row r="157" spans="1:24">
      <c r="A157" t="s">
        <v>510</v>
      </c>
      <c r="B157" t="s">
        <v>511</v>
      </c>
      <c r="C157" t="s">
        <v>52</v>
      </c>
      <c r="D157">
        <v>1.039</v>
      </c>
      <c r="E157">
        <v>5817</v>
      </c>
      <c r="F157">
        <v>24</v>
      </c>
      <c r="G157" t="s">
        <v>47</v>
      </c>
      <c r="H157" t="s">
        <v>512</v>
      </c>
      <c r="I157" t="s">
        <v>29</v>
      </c>
      <c r="J157" t="s">
        <v>31</v>
      </c>
      <c r="K157" t="s">
        <v>30</v>
      </c>
      <c r="L157" t="s">
        <v>31</v>
      </c>
      <c r="M157" t="s">
        <v>97</v>
      </c>
      <c r="N157">
        <v>12</v>
      </c>
      <c r="O157">
        <v>1</v>
      </c>
      <c r="P157">
        <v>0</v>
      </c>
      <c r="Q157">
        <v>5598.652550529356</v>
      </c>
      <c r="R157">
        <v>23.09913378248316</v>
      </c>
      <c r="S157">
        <v>242.375</v>
      </c>
      <c r="T157">
        <v>0</v>
      </c>
      <c r="U157">
        <v>0</v>
      </c>
      <c r="V157">
        <v>0</v>
      </c>
      <c r="W157">
        <v>8.668711839055147</v>
      </c>
      <c r="X157">
        <v>0</v>
      </c>
    </row>
    <row r="158" spans="1:24">
      <c r="A158" t="s">
        <v>513</v>
      </c>
      <c r="B158" t="s">
        <v>514</v>
      </c>
      <c r="C158" t="s">
        <v>35</v>
      </c>
      <c r="D158">
        <v>0.711</v>
      </c>
      <c r="E158">
        <v>2490</v>
      </c>
      <c r="F158">
        <v>19</v>
      </c>
      <c r="G158" t="s">
        <v>47</v>
      </c>
      <c r="H158" t="s">
        <v>515</v>
      </c>
      <c r="I158" t="s">
        <v>29</v>
      </c>
      <c r="J158" t="s">
        <v>31</v>
      </c>
      <c r="K158" t="s">
        <v>31</v>
      </c>
      <c r="L158" t="s">
        <v>30</v>
      </c>
      <c r="M158" t="s">
        <v>44</v>
      </c>
      <c r="N158">
        <v>13</v>
      </c>
      <c r="O158">
        <v>1</v>
      </c>
      <c r="P158">
        <v>0</v>
      </c>
      <c r="Q158">
        <v>3502.10970464135</v>
      </c>
      <c r="R158">
        <v>26.72292545710267</v>
      </c>
      <c r="S158">
        <v>131.0526315789474</v>
      </c>
      <c r="T158">
        <v>0</v>
      </c>
      <c r="U158">
        <v>0</v>
      </c>
      <c r="V158">
        <v>0</v>
      </c>
      <c r="W158">
        <v>7.820439515262181</v>
      </c>
      <c r="X158">
        <v>0</v>
      </c>
    </row>
    <row r="159" spans="1:24">
      <c r="A159" t="s">
        <v>516</v>
      </c>
      <c r="B159" t="s">
        <v>517</v>
      </c>
      <c r="C159" t="s">
        <v>35</v>
      </c>
      <c r="D159">
        <v>7.914</v>
      </c>
      <c r="E159">
        <v>814</v>
      </c>
      <c r="F159">
        <v>16</v>
      </c>
      <c r="G159" t="s">
        <v>27</v>
      </c>
      <c r="H159" t="s">
        <v>518</v>
      </c>
      <c r="I159" t="s">
        <v>29</v>
      </c>
      <c r="J159" t="s">
        <v>30</v>
      </c>
      <c r="K159" t="s">
        <v>31</v>
      </c>
      <c r="L159" t="s">
        <v>30</v>
      </c>
      <c r="M159" t="s">
        <v>97</v>
      </c>
      <c r="N159">
        <v>13</v>
      </c>
      <c r="O159">
        <v>1</v>
      </c>
      <c r="P159">
        <v>0</v>
      </c>
      <c r="Q159">
        <v>102.8556987616882</v>
      </c>
      <c r="R159">
        <v>2.021733636593379</v>
      </c>
      <c r="S159">
        <v>50.875</v>
      </c>
      <c r="T159">
        <v>0</v>
      </c>
      <c r="U159">
        <v>0</v>
      </c>
      <c r="V159">
        <v>0</v>
      </c>
      <c r="W159">
        <v>6.703188113240863</v>
      </c>
      <c r="X159">
        <v>0</v>
      </c>
    </row>
    <row r="160" spans="1:24">
      <c r="A160" t="s">
        <v>519</v>
      </c>
      <c r="B160" t="s">
        <v>520</v>
      </c>
      <c r="C160" t="s">
        <v>26</v>
      </c>
      <c r="D160">
        <v>0.509</v>
      </c>
      <c r="E160">
        <v>2364</v>
      </c>
      <c r="F160">
        <v>18</v>
      </c>
      <c r="G160" t="s">
        <v>27</v>
      </c>
      <c r="H160" t="s">
        <v>521</v>
      </c>
      <c r="I160" t="s">
        <v>29</v>
      </c>
      <c r="J160" t="s">
        <v>30</v>
      </c>
      <c r="K160" t="s">
        <v>31</v>
      </c>
      <c r="L160" t="s">
        <v>30</v>
      </c>
      <c r="M160" t="s">
        <v>97</v>
      </c>
      <c r="N160">
        <v>13</v>
      </c>
      <c r="O160">
        <v>1</v>
      </c>
      <c r="P160">
        <v>0</v>
      </c>
      <c r="Q160">
        <v>4644.400785854617</v>
      </c>
      <c r="R160">
        <v>35.36345776031434</v>
      </c>
      <c r="S160">
        <v>131.3333333333333</v>
      </c>
      <c r="T160">
        <v>0</v>
      </c>
      <c r="U160">
        <v>0</v>
      </c>
      <c r="V160">
        <v>0</v>
      </c>
      <c r="W160">
        <v>7.768533300926033</v>
      </c>
      <c r="X160">
        <v>0</v>
      </c>
    </row>
    <row r="161" spans="1:24">
      <c r="A161" t="s">
        <v>522</v>
      </c>
      <c r="B161" t="s">
        <v>523</v>
      </c>
      <c r="C161" t="s">
        <v>26</v>
      </c>
      <c r="D161">
        <v>8.374000000000001</v>
      </c>
      <c r="E161">
        <v>2319</v>
      </c>
      <c r="F161">
        <v>14</v>
      </c>
      <c r="G161" t="s">
        <v>62</v>
      </c>
      <c r="H161" t="s">
        <v>524</v>
      </c>
      <c r="I161" t="s">
        <v>29</v>
      </c>
      <c r="J161" t="s">
        <v>30</v>
      </c>
      <c r="K161" t="s">
        <v>30</v>
      </c>
      <c r="L161" t="s">
        <v>31</v>
      </c>
      <c r="M161" t="s">
        <v>39</v>
      </c>
      <c r="N161">
        <v>13</v>
      </c>
      <c r="O161">
        <v>1</v>
      </c>
      <c r="P161">
        <v>0</v>
      </c>
      <c r="Q161">
        <v>276.9285884881777</v>
      </c>
      <c r="R161">
        <v>1.671841413900167</v>
      </c>
      <c r="S161">
        <v>165.6428571428571</v>
      </c>
      <c r="T161">
        <v>0</v>
      </c>
      <c r="U161">
        <v>0</v>
      </c>
      <c r="V161">
        <v>0</v>
      </c>
      <c r="W161">
        <v>7.749322464660356</v>
      </c>
      <c r="X161">
        <v>0</v>
      </c>
    </row>
    <row r="162" spans="1:24">
      <c r="A162" t="s">
        <v>525</v>
      </c>
      <c r="B162" t="s">
        <v>526</v>
      </c>
      <c r="C162" t="s">
        <v>26</v>
      </c>
      <c r="D162">
        <v>2.033</v>
      </c>
      <c r="E162">
        <v>9783</v>
      </c>
      <c r="F162">
        <v>18</v>
      </c>
      <c r="G162" t="s">
        <v>47</v>
      </c>
      <c r="H162" t="s">
        <v>527</v>
      </c>
      <c r="I162" t="s">
        <v>29</v>
      </c>
      <c r="J162" t="s">
        <v>31</v>
      </c>
      <c r="K162" t="s">
        <v>30</v>
      </c>
      <c r="L162" t="s">
        <v>30</v>
      </c>
      <c r="M162" t="s">
        <v>39</v>
      </c>
      <c r="N162">
        <v>13</v>
      </c>
      <c r="O162">
        <v>1</v>
      </c>
      <c r="P162">
        <v>0</v>
      </c>
      <c r="Q162">
        <v>4812.100344318741</v>
      </c>
      <c r="R162">
        <v>8.853910477127398</v>
      </c>
      <c r="S162">
        <v>543.5</v>
      </c>
      <c r="T162">
        <v>0</v>
      </c>
      <c r="U162">
        <v>0</v>
      </c>
      <c r="V162">
        <v>0</v>
      </c>
      <c r="W162">
        <v>9.188503677367008</v>
      </c>
      <c r="X162">
        <v>0</v>
      </c>
    </row>
    <row r="163" spans="1:24">
      <c r="A163" t="s">
        <v>528</v>
      </c>
      <c r="B163" t="s">
        <v>529</v>
      </c>
      <c r="C163" t="s">
        <v>130</v>
      </c>
      <c r="D163">
        <v>2.629</v>
      </c>
      <c r="E163">
        <v>1459</v>
      </c>
      <c r="F163">
        <v>17</v>
      </c>
      <c r="G163" t="s">
        <v>36</v>
      </c>
      <c r="H163" t="s">
        <v>530</v>
      </c>
      <c r="I163" t="s">
        <v>29</v>
      </c>
      <c r="J163" t="s">
        <v>38</v>
      </c>
      <c r="K163" t="s">
        <v>30</v>
      </c>
      <c r="L163" t="s">
        <v>30</v>
      </c>
      <c r="M163" t="s">
        <v>97</v>
      </c>
      <c r="N163">
        <v>13</v>
      </c>
      <c r="O163">
        <v>1</v>
      </c>
      <c r="P163">
        <v>0</v>
      </c>
      <c r="Q163">
        <v>554.9638645872956</v>
      </c>
      <c r="R163">
        <v>6.466337010270065</v>
      </c>
      <c r="S163">
        <v>85.82352941176471</v>
      </c>
      <c r="T163">
        <v>0</v>
      </c>
      <c r="U163">
        <v>0</v>
      </c>
      <c r="V163">
        <v>0</v>
      </c>
      <c r="W163">
        <v>7.286191714702382</v>
      </c>
      <c r="X163">
        <v>0</v>
      </c>
    </row>
    <row r="164" spans="1:24">
      <c r="A164" t="s">
        <v>531</v>
      </c>
      <c r="B164" t="s">
        <v>532</v>
      </c>
      <c r="C164" t="s">
        <v>35</v>
      </c>
      <c r="D164">
        <v>7.367</v>
      </c>
      <c r="E164">
        <v>2892</v>
      </c>
      <c r="F164">
        <v>22</v>
      </c>
      <c r="G164" t="s">
        <v>36</v>
      </c>
      <c r="H164" t="s">
        <v>533</v>
      </c>
      <c r="I164" t="s">
        <v>29</v>
      </c>
      <c r="J164" t="s">
        <v>38</v>
      </c>
      <c r="K164" t="s">
        <v>31</v>
      </c>
      <c r="L164" t="s">
        <v>31</v>
      </c>
      <c r="M164" t="s">
        <v>44</v>
      </c>
      <c r="N164">
        <v>13</v>
      </c>
      <c r="O164">
        <v>1</v>
      </c>
      <c r="P164">
        <v>0</v>
      </c>
      <c r="Q164">
        <v>392.5614225600652</v>
      </c>
      <c r="R164">
        <v>2.986290213112529</v>
      </c>
      <c r="S164">
        <v>131.4545454545455</v>
      </c>
      <c r="T164">
        <v>0</v>
      </c>
      <c r="U164">
        <v>0</v>
      </c>
      <c r="V164">
        <v>0</v>
      </c>
      <c r="W164">
        <v>7.970049304976135</v>
      </c>
      <c r="X164">
        <v>0</v>
      </c>
    </row>
    <row r="165" spans="1:24">
      <c r="A165" t="s">
        <v>534</v>
      </c>
      <c r="B165" t="s">
        <v>535</v>
      </c>
      <c r="C165" t="s">
        <v>35</v>
      </c>
      <c r="D165">
        <v>1.718</v>
      </c>
      <c r="E165">
        <v>2561</v>
      </c>
      <c r="F165">
        <v>16</v>
      </c>
      <c r="G165" t="s">
        <v>47</v>
      </c>
      <c r="H165" t="s">
        <v>536</v>
      </c>
      <c r="I165" t="s">
        <v>29</v>
      </c>
      <c r="J165" t="s">
        <v>31</v>
      </c>
      <c r="K165" t="s">
        <v>31</v>
      </c>
      <c r="L165" t="s">
        <v>30</v>
      </c>
      <c r="M165" t="s">
        <v>97</v>
      </c>
      <c r="N165">
        <v>13</v>
      </c>
      <c r="O165">
        <v>1</v>
      </c>
      <c r="P165">
        <v>0</v>
      </c>
      <c r="Q165">
        <v>1490.686845168801</v>
      </c>
      <c r="R165">
        <v>9.31315483119907</v>
      </c>
      <c r="S165">
        <v>160.0625</v>
      </c>
      <c r="T165">
        <v>0</v>
      </c>
      <c r="U165">
        <v>0</v>
      </c>
      <c r="V165">
        <v>0</v>
      </c>
      <c r="W165">
        <v>7.848543482456679</v>
      </c>
      <c r="X165">
        <v>0</v>
      </c>
    </row>
    <row r="166" spans="1:24">
      <c r="A166" t="s">
        <v>537</v>
      </c>
      <c r="B166" t="s">
        <v>538</v>
      </c>
      <c r="C166" t="s">
        <v>35</v>
      </c>
      <c r="D166">
        <v>2.803</v>
      </c>
      <c r="E166">
        <v>5202</v>
      </c>
      <c r="F166">
        <v>19</v>
      </c>
      <c r="G166" t="s">
        <v>62</v>
      </c>
      <c r="H166" t="s">
        <v>539</v>
      </c>
      <c r="I166" t="s">
        <v>29</v>
      </c>
      <c r="J166" t="s">
        <v>30</v>
      </c>
      <c r="K166" t="s">
        <v>38</v>
      </c>
      <c r="L166" t="s">
        <v>30</v>
      </c>
      <c r="M166" t="s">
        <v>76</v>
      </c>
      <c r="N166">
        <v>13</v>
      </c>
      <c r="O166">
        <v>1</v>
      </c>
      <c r="P166">
        <v>0</v>
      </c>
      <c r="Q166">
        <v>1855.868712094185</v>
      </c>
      <c r="R166">
        <v>6.778451658936853</v>
      </c>
      <c r="S166">
        <v>273.7894736842105</v>
      </c>
      <c r="T166">
        <v>0</v>
      </c>
      <c r="U166">
        <v>0</v>
      </c>
      <c r="V166">
        <v>0</v>
      </c>
      <c r="W166">
        <v>8.556990661290303</v>
      </c>
      <c r="X166">
        <v>0</v>
      </c>
    </row>
    <row r="167" spans="1:24">
      <c r="A167" t="s">
        <v>540</v>
      </c>
      <c r="B167" t="s">
        <v>541</v>
      </c>
      <c r="C167" t="s">
        <v>35</v>
      </c>
      <c r="D167">
        <v>3.852</v>
      </c>
      <c r="E167">
        <v>10595</v>
      </c>
      <c r="F167">
        <v>19</v>
      </c>
      <c r="G167" t="s">
        <v>62</v>
      </c>
      <c r="H167" t="s">
        <v>542</v>
      </c>
      <c r="I167" t="s">
        <v>29</v>
      </c>
      <c r="J167" t="s">
        <v>30</v>
      </c>
      <c r="K167" t="s">
        <v>31</v>
      </c>
      <c r="L167" t="s">
        <v>31</v>
      </c>
      <c r="M167" t="s">
        <v>44</v>
      </c>
      <c r="N167">
        <v>13</v>
      </c>
      <c r="O167">
        <v>1</v>
      </c>
      <c r="P167">
        <v>0</v>
      </c>
      <c r="Q167">
        <v>2750.519210799585</v>
      </c>
      <c r="R167">
        <v>4.932502596053998</v>
      </c>
      <c r="S167">
        <v>557.6315789473684</v>
      </c>
      <c r="T167">
        <v>0</v>
      </c>
      <c r="U167">
        <v>0</v>
      </c>
      <c r="V167">
        <v>1</v>
      </c>
      <c r="W167">
        <v>9.26823185039196</v>
      </c>
      <c r="X167">
        <v>0</v>
      </c>
    </row>
    <row r="168" spans="1:24">
      <c r="A168" t="s">
        <v>543</v>
      </c>
      <c r="B168" t="s">
        <v>544</v>
      </c>
      <c r="C168" t="s">
        <v>35</v>
      </c>
      <c r="D168">
        <v>5.1</v>
      </c>
      <c r="E168">
        <v>3186</v>
      </c>
      <c r="F168">
        <v>17</v>
      </c>
      <c r="G168" t="s">
        <v>47</v>
      </c>
      <c r="H168" t="s">
        <v>545</v>
      </c>
      <c r="I168" t="s">
        <v>29</v>
      </c>
      <c r="J168" t="s">
        <v>31</v>
      </c>
      <c r="K168" t="s">
        <v>31</v>
      </c>
      <c r="L168" t="s">
        <v>31</v>
      </c>
      <c r="M168" t="s">
        <v>44</v>
      </c>
      <c r="N168">
        <v>13</v>
      </c>
      <c r="O168">
        <v>1</v>
      </c>
      <c r="P168">
        <v>0</v>
      </c>
      <c r="Q168">
        <v>624.7058823529412</v>
      </c>
      <c r="R168">
        <v>3.333333333333333</v>
      </c>
      <c r="S168">
        <v>187.4117647058823</v>
      </c>
      <c r="T168">
        <v>0</v>
      </c>
      <c r="U168">
        <v>0</v>
      </c>
      <c r="V168">
        <v>0</v>
      </c>
      <c r="W168">
        <v>8.066835314417336</v>
      </c>
      <c r="X168">
        <v>0</v>
      </c>
    </row>
    <row r="169" spans="1:24">
      <c r="A169" t="s">
        <v>546</v>
      </c>
      <c r="B169" t="s">
        <v>547</v>
      </c>
      <c r="C169" t="s">
        <v>130</v>
      </c>
      <c r="D169">
        <v>0.134</v>
      </c>
      <c r="E169">
        <v>3551</v>
      </c>
      <c r="F169">
        <v>4</v>
      </c>
      <c r="G169" t="s">
        <v>36</v>
      </c>
      <c r="H169" t="s">
        <v>548</v>
      </c>
      <c r="I169" t="s">
        <v>90</v>
      </c>
      <c r="J169" t="s">
        <v>38</v>
      </c>
      <c r="K169" t="s">
        <v>31</v>
      </c>
      <c r="L169" t="s">
        <v>30</v>
      </c>
      <c r="M169" t="s">
        <v>97</v>
      </c>
      <c r="N169">
        <v>13</v>
      </c>
      <c r="O169">
        <v>1</v>
      </c>
      <c r="P169">
        <v>0</v>
      </c>
      <c r="Q169">
        <v>26500</v>
      </c>
      <c r="R169">
        <v>29.85074626865672</v>
      </c>
      <c r="S169">
        <v>887.75</v>
      </c>
      <c r="T169">
        <v>0</v>
      </c>
      <c r="U169">
        <v>0</v>
      </c>
      <c r="V169">
        <v>0</v>
      </c>
      <c r="W169">
        <v>8.17526610411206</v>
      </c>
      <c r="X169">
        <v>1</v>
      </c>
    </row>
    <row r="170" spans="1:24">
      <c r="A170" t="s">
        <v>549</v>
      </c>
      <c r="B170" t="s">
        <v>550</v>
      </c>
      <c r="C170" t="s">
        <v>35</v>
      </c>
      <c r="D170">
        <v>6.667</v>
      </c>
      <c r="E170">
        <v>1886</v>
      </c>
      <c r="F170">
        <v>16</v>
      </c>
      <c r="G170" t="s">
        <v>27</v>
      </c>
      <c r="H170" t="s">
        <v>551</v>
      </c>
      <c r="I170" t="s">
        <v>29</v>
      </c>
      <c r="J170" t="s">
        <v>30</v>
      </c>
      <c r="K170" t="s">
        <v>30</v>
      </c>
      <c r="L170" t="s">
        <v>31</v>
      </c>
      <c r="M170" t="s">
        <v>97</v>
      </c>
      <c r="N170">
        <v>14</v>
      </c>
      <c r="O170">
        <v>1</v>
      </c>
      <c r="P170">
        <v>0</v>
      </c>
      <c r="Q170">
        <v>282.8858557072147</v>
      </c>
      <c r="R170">
        <v>2.3998800059997</v>
      </c>
      <c r="S170">
        <v>117.875</v>
      </c>
      <c r="T170">
        <v>0</v>
      </c>
      <c r="U170">
        <v>0</v>
      </c>
      <c r="V170">
        <v>0</v>
      </c>
      <c r="W170">
        <v>7.54274354536855</v>
      </c>
      <c r="X170">
        <v>0</v>
      </c>
    </row>
    <row r="171" spans="1:24">
      <c r="A171" t="s">
        <v>552</v>
      </c>
      <c r="B171" t="s">
        <v>553</v>
      </c>
      <c r="C171" t="s">
        <v>35</v>
      </c>
      <c r="D171">
        <v>1.663</v>
      </c>
      <c r="E171">
        <v>4184</v>
      </c>
      <c r="F171">
        <v>15</v>
      </c>
      <c r="G171" t="s">
        <v>62</v>
      </c>
      <c r="H171" t="s">
        <v>554</v>
      </c>
      <c r="I171" t="s">
        <v>29</v>
      </c>
      <c r="J171" t="s">
        <v>30</v>
      </c>
      <c r="K171" t="s">
        <v>30</v>
      </c>
      <c r="L171" t="s">
        <v>30</v>
      </c>
      <c r="M171" t="s">
        <v>39</v>
      </c>
      <c r="N171">
        <v>14</v>
      </c>
      <c r="O171">
        <v>1</v>
      </c>
      <c r="P171">
        <v>0</v>
      </c>
      <c r="Q171">
        <v>2515.935057125676</v>
      </c>
      <c r="R171">
        <v>9.019843656043294</v>
      </c>
      <c r="S171">
        <v>278.9333333333333</v>
      </c>
      <c r="T171">
        <v>0</v>
      </c>
      <c r="U171">
        <v>0</v>
      </c>
      <c r="V171">
        <v>0</v>
      </c>
      <c r="W171">
        <v>8.339261982923576</v>
      </c>
      <c r="X171">
        <v>0</v>
      </c>
    </row>
    <row r="172" spans="1:24">
      <c r="A172" t="s">
        <v>555</v>
      </c>
      <c r="B172" t="s">
        <v>556</v>
      </c>
      <c r="C172" t="s">
        <v>35</v>
      </c>
      <c r="D172">
        <v>4.512</v>
      </c>
      <c r="E172">
        <v>3197</v>
      </c>
      <c r="F172">
        <v>16</v>
      </c>
      <c r="G172" t="s">
        <v>47</v>
      </c>
      <c r="H172" t="s">
        <v>557</v>
      </c>
      <c r="I172" t="s">
        <v>29</v>
      </c>
      <c r="J172" t="s">
        <v>31</v>
      </c>
      <c r="K172" t="s">
        <v>38</v>
      </c>
      <c r="L172" t="s">
        <v>30</v>
      </c>
      <c r="M172" t="s">
        <v>97</v>
      </c>
      <c r="N172">
        <v>14</v>
      </c>
      <c r="O172">
        <v>1</v>
      </c>
      <c r="P172">
        <v>0</v>
      </c>
      <c r="Q172">
        <v>708.5549645390072</v>
      </c>
      <c r="R172">
        <v>3.546099290780142</v>
      </c>
      <c r="S172">
        <v>199.8125</v>
      </c>
      <c r="T172">
        <v>0</v>
      </c>
      <c r="U172">
        <v>0</v>
      </c>
      <c r="V172">
        <v>0</v>
      </c>
      <c r="W172">
        <v>8.0702808933939</v>
      </c>
      <c r="X172">
        <v>0</v>
      </c>
    </row>
    <row r="173" spans="1:24">
      <c r="A173" t="s">
        <v>558</v>
      </c>
      <c r="B173" t="s">
        <v>559</v>
      </c>
      <c r="C173" t="s">
        <v>26</v>
      </c>
      <c r="D173">
        <v>1.798</v>
      </c>
      <c r="E173">
        <v>2834</v>
      </c>
      <c r="F173">
        <v>27</v>
      </c>
      <c r="G173" t="s">
        <v>62</v>
      </c>
      <c r="H173" t="s">
        <v>560</v>
      </c>
      <c r="I173" t="s">
        <v>29</v>
      </c>
      <c r="J173" t="s">
        <v>30</v>
      </c>
      <c r="K173" t="s">
        <v>31</v>
      </c>
      <c r="L173" t="s">
        <v>30</v>
      </c>
      <c r="M173" t="s">
        <v>44</v>
      </c>
      <c r="N173">
        <v>14</v>
      </c>
      <c r="O173">
        <v>1</v>
      </c>
      <c r="P173">
        <v>0</v>
      </c>
      <c r="Q173">
        <v>1576.195773081201</v>
      </c>
      <c r="R173">
        <v>15.0166852057842</v>
      </c>
      <c r="S173">
        <v>104.962962962963</v>
      </c>
      <c r="T173">
        <v>0</v>
      </c>
      <c r="U173">
        <v>0</v>
      </c>
      <c r="V173">
        <v>0</v>
      </c>
      <c r="W173">
        <v>7.949797216161852</v>
      </c>
      <c r="X173">
        <v>0</v>
      </c>
    </row>
    <row r="174" spans="1:24">
      <c r="A174" t="s">
        <v>561</v>
      </c>
      <c r="B174" t="s">
        <v>562</v>
      </c>
      <c r="C174" t="s">
        <v>35</v>
      </c>
      <c r="D174">
        <v>4.354</v>
      </c>
      <c r="E174">
        <v>11459</v>
      </c>
      <c r="F174">
        <v>18</v>
      </c>
      <c r="G174" t="s">
        <v>36</v>
      </c>
      <c r="H174" t="s">
        <v>563</v>
      </c>
      <c r="I174" t="s">
        <v>29</v>
      </c>
      <c r="J174" t="s">
        <v>38</v>
      </c>
      <c r="K174" t="s">
        <v>31</v>
      </c>
      <c r="L174" t="s">
        <v>30</v>
      </c>
      <c r="M174" t="s">
        <v>44</v>
      </c>
      <c r="N174">
        <v>14</v>
      </c>
      <c r="O174">
        <v>1</v>
      </c>
      <c r="P174">
        <v>0</v>
      </c>
      <c r="Q174">
        <v>2631.832797427653</v>
      </c>
      <c r="R174">
        <v>4.134129536058796</v>
      </c>
      <c r="S174">
        <v>636.6111111111111</v>
      </c>
      <c r="T174">
        <v>0</v>
      </c>
      <c r="U174">
        <v>0</v>
      </c>
      <c r="V174">
        <v>1</v>
      </c>
      <c r="W174">
        <v>9.346617990268731</v>
      </c>
      <c r="X174">
        <v>0</v>
      </c>
    </row>
    <row r="175" spans="1:24">
      <c r="A175" t="s">
        <v>564</v>
      </c>
      <c r="B175" t="s">
        <v>565</v>
      </c>
      <c r="C175" t="s">
        <v>26</v>
      </c>
      <c r="D175">
        <v>3.591</v>
      </c>
      <c r="E175">
        <v>3250</v>
      </c>
      <c r="F175">
        <v>16</v>
      </c>
      <c r="G175" t="s">
        <v>27</v>
      </c>
      <c r="H175" t="s">
        <v>566</v>
      </c>
      <c r="I175" t="s">
        <v>29</v>
      </c>
      <c r="J175" t="s">
        <v>30</v>
      </c>
      <c r="K175" t="s">
        <v>30</v>
      </c>
      <c r="L175" t="s">
        <v>31</v>
      </c>
      <c r="M175" t="s">
        <v>97</v>
      </c>
      <c r="N175">
        <v>14</v>
      </c>
      <c r="O175">
        <v>1</v>
      </c>
      <c r="P175">
        <v>0</v>
      </c>
      <c r="Q175">
        <v>905.0403787245892</v>
      </c>
      <c r="R175">
        <v>4.455583402951824</v>
      </c>
      <c r="S175">
        <v>203.125</v>
      </c>
      <c r="T175">
        <v>0</v>
      </c>
      <c r="U175">
        <v>0</v>
      </c>
      <c r="V175">
        <v>0</v>
      </c>
      <c r="W175">
        <v>8.086717920303906</v>
      </c>
      <c r="X175">
        <v>0</v>
      </c>
    </row>
    <row r="176" spans="1:24">
      <c r="A176" t="s">
        <v>567</v>
      </c>
      <c r="B176" t="s">
        <v>568</v>
      </c>
      <c r="C176" t="s">
        <v>130</v>
      </c>
      <c r="D176">
        <v>0.969</v>
      </c>
      <c r="E176">
        <v>2372</v>
      </c>
      <c r="F176">
        <v>20</v>
      </c>
      <c r="G176" t="s">
        <v>62</v>
      </c>
      <c r="H176" t="s">
        <v>569</v>
      </c>
      <c r="I176" t="s">
        <v>29</v>
      </c>
      <c r="J176" t="s">
        <v>30</v>
      </c>
      <c r="K176" t="s">
        <v>31</v>
      </c>
      <c r="L176" t="s">
        <v>30</v>
      </c>
      <c r="M176" t="s">
        <v>97</v>
      </c>
      <c r="N176">
        <v>14</v>
      </c>
      <c r="O176">
        <v>1</v>
      </c>
      <c r="P176">
        <v>0</v>
      </c>
      <c r="Q176">
        <v>2447.884416924664</v>
      </c>
      <c r="R176">
        <v>20.63983488132095</v>
      </c>
      <c r="S176">
        <v>118.6</v>
      </c>
      <c r="T176">
        <v>0</v>
      </c>
      <c r="U176">
        <v>0</v>
      </c>
      <c r="V176">
        <v>0</v>
      </c>
      <c r="W176">
        <v>7.771910256435763</v>
      </c>
      <c r="X176">
        <v>0</v>
      </c>
    </row>
    <row r="177" spans="1:24">
      <c r="A177" t="s">
        <v>570</v>
      </c>
      <c r="B177" t="s">
        <v>571</v>
      </c>
      <c r="C177" t="s">
        <v>26</v>
      </c>
      <c r="D177">
        <v>3.516</v>
      </c>
      <c r="E177">
        <v>2101</v>
      </c>
      <c r="F177">
        <v>14</v>
      </c>
      <c r="G177" t="s">
        <v>27</v>
      </c>
      <c r="H177" t="s">
        <v>572</v>
      </c>
      <c r="I177" t="s">
        <v>29</v>
      </c>
      <c r="J177" t="s">
        <v>30</v>
      </c>
      <c r="K177" t="s">
        <v>31</v>
      </c>
      <c r="L177" t="s">
        <v>31</v>
      </c>
      <c r="M177" t="s">
        <v>44</v>
      </c>
      <c r="N177">
        <v>14</v>
      </c>
      <c r="O177">
        <v>1</v>
      </c>
      <c r="P177">
        <v>0</v>
      </c>
      <c r="Q177">
        <v>597.5540386803185</v>
      </c>
      <c r="R177">
        <v>3.981797497155859</v>
      </c>
      <c r="S177">
        <v>150.0714285714286</v>
      </c>
      <c r="T177">
        <v>0</v>
      </c>
      <c r="U177">
        <v>0</v>
      </c>
      <c r="V177">
        <v>0</v>
      </c>
      <c r="W177">
        <v>7.650644551436897</v>
      </c>
      <c r="X177">
        <v>0</v>
      </c>
    </row>
    <row r="178" spans="1:24">
      <c r="A178" t="s">
        <v>573</v>
      </c>
      <c r="B178" t="s">
        <v>574</v>
      </c>
      <c r="C178" t="s">
        <v>26</v>
      </c>
      <c r="D178">
        <v>6.796</v>
      </c>
      <c r="E178">
        <v>3610</v>
      </c>
      <c r="F178">
        <v>15</v>
      </c>
      <c r="G178" t="s">
        <v>47</v>
      </c>
      <c r="H178" t="s">
        <v>575</v>
      </c>
      <c r="I178" t="s">
        <v>29</v>
      </c>
      <c r="J178" t="s">
        <v>31</v>
      </c>
      <c r="K178" t="s">
        <v>30</v>
      </c>
      <c r="L178" t="s">
        <v>38</v>
      </c>
      <c r="M178" t="s">
        <v>44</v>
      </c>
      <c r="N178">
        <v>14</v>
      </c>
      <c r="O178">
        <v>1</v>
      </c>
      <c r="P178">
        <v>0</v>
      </c>
      <c r="Q178">
        <v>531.1948204826368</v>
      </c>
      <c r="R178">
        <v>2.207180694526192</v>
      </c>
      <c r="S178">
        <v>240.6666666666666</v>
      </c>
      <c r="T178">
        <v>0</v>
      </c>
      <c r="U178">
        <v>0</v>
      </c>
      <c r="V178">
        <v>0</v>
      </c>
      <c r="W178">
        <v>8.191740021277457</v>
      </c>
      <c r="X178">
        <v>0</v>
      </c>
    </row>
    <row r="179" spans="1:24">
      <c r="A179" t="s">
        <v>576</v>
      </c>
      <c r="B179" t="s">
        <v>577</v>
      </c>
      <c r="C179" t="s">
        <v>35</v>
      </c>
      <c r="D179">
        <v>1.03</v>
      </c>
      <c r="E179">
        <v>3313</v>
      </c>
      <c r="F179">
        <v>12</v>
      </c>
      <c r="G179" t="s">
        <v>47</v>
      </c>
      <c r="H179" t="s">
        <v>578</v>
      </c>
      <c r="I179" t="s">
        <v>29</v>
      </c>
      <c r="J179" t="s">
        <v>31</v>
      </c>
      <c r="K179" t="s">
        <v>30</v>
      </c>
      <c r="L179" t="s">
        <v>38</v>
      </c>
      <c r="M179" t="s">
        <v>76</v>
      </c>
      <c r="N179">
        <v>14</v>
      </c>
      <c r="O179">
        <v>1</v>
      </c>
      <c r="P179">
        <v>0</v>
      </c>
      <c r="Q179">
        <v>3216.504854368932</v>
      </c>
      <c r="R179">
        <v>11.6504854368932</v>
      </c>
      <c r="S179">
        <v>276.0833333333333</v>
      </c>
      <c r="T179">
        <v>0</v>
      </c>
      <c r="U179">
        <v>0</v>
      </c>
      <c r="V179">
        <v>0</v>
      </c>
      <c r="W179">
        <v>8.105911197986508</v>
      </c>
      <c r="X179">
        <v>0</v>
      </c>
    </row>
    <row r="180" spans="1:24">
      <c r="A180" t="s">
        <v>579</v>
      </c>
      <c r="B180" t="s">
        <v>580</v>
      </c>
      <c r="C180" t="s">
        <v>35</v>
      </c>
      <c r="D180">
        <v>3.329</v>
      </c>
      <c r="E180">
        <v>4473</v>
      </c>
      <c r="F180">
        <v>13</v>
      </c>
      <c r="G180" t="s">
        <v>36</v>
      </c>
      <c r="H180" t="s">
        <v>581</v>
      </c>
      <c r="I180" t="s">
        <v>29</v>
      </c>
      <c r="J180" t="s">
        <v>38</v>
      </c>
      <c r="K180" t="s">
        <v>30</v>
      </c>
      <c r="L180" t="s">
        <v>31</v>
      </c>
      <c r="M180" t="s">
        <v>44</v>
      </c>
      <c r="N180">
        <v>14</v>
      </c>
      <c r="O180">
        <v>1</v>
      </c>
      <c r="P180">
        <v>0</v>
      </c>
      <c r="Q180">
        <v>1343.646740762992</v>
      </c>
      <c r="R180">
        <v>3.905076599579453</v>
      </c>
      <c r="S180">
        <v>344.0769230769231</v>
      </c>
      <c r="T180">
        <v>0</v>
      </c>
      <c r="U180">
        <v>0</v>
      </c>
      <c r="V180">
        <v>0</v>
      </c>
      <c r="W180">
        <v>8.406038142050075</v>
      </c>
      <c r="X180">
        <v>0</v>
      </c>
    </row>
    <row r="181" spans="1:24">
      <c r="A181" t="s">
        <v>582</v>
      </c>
      <c r="B181" t="s">
        <v>583</v>
      </c>
      <c r="C181" t="s">
        <v>26</v>
      </c>
      <c r="D181">
        <v>3.053</v>
      </c>
      <c r="E181">
        <v>2830</v>
      </c>
      <c r="F181">
        <v>17</v>
      </c>
      <c r="G181" t="s">
        <v>62</v>
      </c>
      <c r="H181" t="s">
        <v>584</v>
      </c>
      <c r="I181" t="s">
        <v>29</v>
      </c>
      <c r="J181" t="s">
        <v>30</v>
      </c>
      <c r="K181" t="s">
        <v>30</v>
      </c>
      <c r="L181" t="s">
        <v>31</v>
      </c>
      <c r="M181" t="s">
        <v>97</v>
      </c>
      <c r="N181">
        <v>14</v>
      </c>
      <c r="O181">
        <v>1</v>
      </c>
      <c r="P181">
        <v>0</v>
      </c>
      <c r="Q181">
        <v>926.9570913855224</v>
      </c>
      <c r="R181">
        <v>5.56829348182116</v>
      </c>
      <c r="S181">
        <v>166.4705882352941</v>
      </c>
      <c r="T181">
        <v>0</v>
      </c>
      <c r="U181">
        <v>0</v>
      </c>
      <c r="V181">
        <v>0</v>
      </c>
      <c r="W181">
        <v>7.948385285111899</v>
      </c>
      <c r="X181">
        <v>0</v>
      </c>
    </row>
    <row r="182" spans="1:24">
      <c r="A182" t="s">
        <v>585</v>
      </c>
      <c r="B182" t="s">
        <v>586</v>
      </c>
      <c r="C182" t="s">
        <v>26</v>
      </c>
      <c r="D182">
        <v>4.246</v>
      </c>
      <c r="E182">
        <v>267</v>
      </c>
      <c r="F182">
        <v>7</v>
      </c>
      <c r="G182" t="s">
        <v>36</v>
      </c>
      <c r="H182" t="s">
        <v>587</v>
      </c>
      <c r="I182" t="s">
        <v>29</v>
      </c>
      <c r="J182" t="s">
        <v>38</v>
      </c>
      <c r="K182" t="s">
        <v>30</v>
      </c>
      <c r="L182" t="s">
        <v>31</v>
      </c>
      <c r="M182" t="s">
        <v>32</v>
      </c>
      <c r="N182">
        <v>15</v>
      </c>
      <c r="O182">
        <v>1</v>
      </c>
      <c r="P182">
        <v>0</v>
      </c>
      <c r="Q182">
        <v>62.88271314178049</v>
      </c>
      <c r="R182">
        <v>1.648610456900612</v>
      </c>
      <c r="S182">
        <v>38.14285714285715</v>
      </c>
      <c r="T182">
        <v>0</v>
      </c>
      <c r="U182">
        <v>0</v>
      </c>
      <c r="V182">
        <v>0</v>
      </c>
      <c r="W182">
        <v>5.590986980510857</v>
      </c>
      <c r="X182">
        <v>0</v>
      </c>
    </row>
    <row r="183" spans="1:24">
      <c r="A183" t="s">
        <v>588</v>
      </c>
      <c r="B183" t="s">
        <v>589</v>
      </c>
      <c r="C183" t="s">
        <v>130</v>
      </c>
      <c r="D183">
        <v>5.247</v>
      </c>
      <c r="E183">
        <v>3207</v>
      </c>
      <c r="F183">
        <v>19</v>
      </c>
      <c r="G183" t="s">
        <v>27</v>
      </c>
      <c r="H183" t="s">
        <v>590</v>
      </c>
      <c r="I183" t="s">
        <v>29</v>
      </c>
      <c r="J183" t="s">
        <v>30</v>
      </c>
      <c r="K183" t="s">
        <v>30</v>
      </c>
      <c r="L183" t="s">
        <v>30</v>
      </c>
      <c r="M183" t="s">
        <v>39</v>
      </c>
      <c r="N183">
        <v>15</v>
      </c>
      <c r="O183">
        <v>1</v>
      </c>
      <c r="P183">
        <v>0</v>
      </c>
      <c r="Q183">
        <v>611.2064036592338</v>
      </c>
      <c r="R183">
        <v>3.621116828663999</v>
      </c>
      <c r="S183">
        <v>168.7894736842105</v>
      </c>
      <c r="T183">
        <v>0</v>
      </c>
      <c r="U183">
        <v>0</v>
      </c>
      <c r="V183">
        <v>0</v>
      </c>
      <c r="W183">
        <v>8.073402968986406</v>
      </c>
      <c r="X183">
        <v>0</v>
      </c>
    </row>
    <row r="184" spans="1:24">
      <c r="A184" t="s">
        <v>591</v>
      </c>
      <c r="B184" t="s">
        <v>592</v>
      </c>
      <c r="C184" t="s">
        <v>35</v>
      </c>
      <c r="D184">
        <v>3.219</v>
      </c>
      <c r="E184">
        <v>719</v>
      </c>
      <c r="F184">
        <v>8</v>
      </c>
      <c r="G184" t="s">
        <v>36</v>
      </c>
      <c r="H184" t="s">
        <v>593</v>
      </c>
      <c r="I184" t="s">
        <v>29</v>
      </c>
      <c r="J184" t="s">
        <v>38</v>
      </c>
      <c r="K184" t="s">
        <v>31</v>
      </c>
      <c r="L184" t="s">
        <v>31</v>
      </c>
      <c r="M184" t="s">
        <v>44</v>
      </c>
      <c r="N184">
        <v>15</v>
      </c>
      <c r="O184">
        <v>1</v>
      </c>
      <c r="P184">
        <v>0</v>
      </c>
      <c r="Q184">
        <v>223.3612923268096</v>
      </c>
      <c r="R184">
        <v>2.48524386455421</v>
      </c>
      <c r="S184">
        <v>89.875</v>
      </c>
      <c r="T184">
        <v>0</v>
      </c>
      <c r="U184">
        <v>0</v>
      </c>
      <c r="V184">
        <v>0</v>
      </c>
      <c r="W184">
        <v>6.579251212010101</v>
      </c>
      <c r="X184">
        <v>0</v>
      </c>
    </row>
    <row r="185" spans="1:24">
      <c r="A185" t="s">
        <v>594</v>
      </c>
      <c r="B185" t="s">
        <v>595</v>
      </c>
      <c r="C185" t="s">
        <v>35</v>
      </c>
      <c r="D185">
        <v>3.207</v>
      </c>
      <c r="E185">
        <v>1637</v>
      </c>
      <c r="F185">
        <v>25</v>
      </c>
      <c r="G185" t="s">
        <v>62</v>
      </c>
      <c r="H185" t="s">
        <v>596</v>
      </c>
      <c r="I185" t="s">
        <v>29</v>
      </c>
      <c r="J185" t="s">
        <v>30</v>
      </c>
      <c r="K185" t="s">
        <v>30</v>
      </c>
      <c r="L185" t="s">
        <v>30</v>
      </c>
      <c r="M185" t="s">
        <v>44</v>
      </c>
      <c r="N185">
        <v>15</v>
      </c>
      <c r="O185">
        <v>1</v>
      </c>
      <c r="P185">
        <v>0</v>
      </c>
      <c r="Q185">
        <v>510.4458995946367</v>
      </c>
      <c r="R185">
        <v>7.795447458684129</v>
      </c>
      <c r="S185">
        <v>65.48</v>
      </c>
      <c r="T185">
        <v>0</v>
      </c>
      <c r="U185">
        <v>0</v>
      </c>
      <c r="V185">
        <v>0</v>
      </c>
      <c r="W185">
        <v>7.401231264413015</v>
      </c>
      <c r="X185">
        <v>0</v>
      </c>
    </row>
    <row r="186" spans="1:24">
      <c r="A186" t="s">
        <v>597</v>
      </c>
      <c r="B186" t="s">
        <v>598</v>
      </c>
      <c r="C186" t="s">
        <v>35</v>
      </c>
      <c r="D186">
        <v>2.675</v>
      </c>
      <c r="E186">
        <v>4982</v>
      </c>
      <c r="F186">
        <v>19</v>
      </c>
      <c r="G186" t="s">
        <v>36</v>
      </c>
      <c r="H186" t="s">
        <v>599</v>
      </c>
      <c r="I186" t="s">
        <v>29</v>
      </c>
      <c r="J186" t="s">
        <v>38</v>
      </c>
      <c r="K186" t="s">
        <v>30</v>
      </c>
      <c r="L186" t="s">
        <v>31</v>
      </c>
      <c r="M186" t="s">
        <v>39</v>
      </c>
      <c r="N186">
        <v>15</v>
      </c>
      <c r="O186">
        <v>1</v>
      </c>
      <c r="P186">
        <v>0</v>
      </c>
      <c r="Q186">
        <v>1862.429906542056</v>
      </c>
      <c r="R186">
        <v>7.102803738317758</v>
      </c>
      <c r="S186">
        <v>262.2105263157895</v>
      </c>
      <c r="T186">
        <v>0</v>
      </c>
      <c r="U186">
        <v>0</v>
      </c>
      <c r="V186">
        <v>0</v>
      </c>
      <c r="W186">
        <v>8.513787398281405</v>
      </c>
      <c r="X186">
        <v>0</v>
      </c>
    </row>
    <row r="187" spans="1:24">
      <c r="A187" t="s">
        <v>600</v>
      </c>
      <c r="B187" t="s">
        <v>601</v>
      </c>
      <c r="C187" t="s">
        <v>35</v>
      </c>
      <c r="D187">
        <v>5.205</v>
      </c>
      <c r="E187">
        <v>2369</v>
      </c>
      <c r="F187">
        <v>22</v>
      </c>
      <c r="G187" t="s">
        <v>27</v>
      </c>
      <c r="H187" t="s">
        <v>602</v>
      </c>
      <c r="I187" t="s">
        <v>29</v>
      </c>
      <c r="J187" t="s">
        <v>30</v>
      </c>
      <c r="K187" t="s">
        <v>30</v>
      </c>
      <c r="L187" t="s">
        <v>38</v>
      </c>
      <c r="M187" t="s">
        <v>44</v>
      </c>
      <c r="N187">
        <v>15</v>
      </c>
      <c r="O187">
        <v>1</v>
      </c>
      <c r="P187">
        <v>0</v>
      </c>
      <c r="Q187">
        <v>455.1392891450528</v>
      </c>
      <c r="R187">
        <v>4.226705091258405</v>
      </c>
      <c r="S187">
        <v>107.6818181818182</v>
      </c>
      <c r="T187">
        <v>0</v>
      </c>
      <c r="U187">
        <v>0</v>
      </c>
      <c r="V187">
        <v>0</v>
      </c>
      <c r="W187">
        <v>7.770645234129176</v>
      </c>
      <c r="X187">
        <v>0</v>
      </c>
    </row>
    <row r="188" spans="1:24">
      <c r="A188" t="s">
        <v>603</v>
      </c>
      <c r="B188" t="s">
        <v>604</v>
      </c>
      <c r="C188" t="s">
        <v>35</v>
      </c>
      <c r="D188">
        <v>2.391</v>
      </c>
      <c r="E188">
        <v>1266</v>
      </c>
      <c r="F188">
        <v>7</v>
      </c>
      <c r="G188" t="s">
        <v>27</v>
      </c>
      <c r="H188" t="s">
        <v>605</v>
      </c>
      <c r="I188" t="s">
        <v>29</v>
      </c>
      <c r="J188" t="s">
        <v>30</v>
      </c>
      <c r="K188" t="s">
        <v>30</v>
      </c>
      <c r="L188" t="s">
        <v>30</v>
      </c>
      <c r="M188" t="s">
        <v>83</v>
      </c>
      <c r="N188">
        <v>15</v>
      </c>
      <c r="O188">
        <v>1</v>
      </c>
      <c r="P188">
        <v>0</v>
      </c>
      <c r="Q188">
        <v>529.4855708908407</v>
      </c>
      <c r="R188">
        <v>2.927645336679214</v>
      </c>
      <c r="S188">
        <v>180.8571428571429</v>
      </c>
      <c r="T188">
        <v>0</v>
      </c>
      <c r="U188">
        <v>0</v>
      </c>
      <c r="V188">
        <v>0</v>
      </c>
      <c r="W188">
        <v>7.144407180321139</v>
      </c>
      <c r="X188">
        <v>0</v>
      </c>
    </row>
    <row r="189" spans="1:24">
      <c r="A189" t="s">
        <v>606</v>
      </c>
      <c r="B189" t="s">
        <v>607</v>
      </c>
      <c r="C189" t="s">
        <v>26</v>
      </c>
      <c r="D189">
        <v>1.007</v>
      </c>
      <c r="E189">
        <v>2789</v>
      </c>
      <c r="F189">
        <v>16</v>
      </c>
      <c r="G189" t="s">
        <v>36</v>
      </c>
      <c r="H189" t="s">
        <v>608</v>
      </c>
      <c r="I189" t="s">
        <v>29</v>
      </c>
      <c r="J189" t="s">
        <v>38</v>
      </c>
      <c r="K189" t="s">
        <v>30</v>
      </c>
      <c r="L189" t="s">
        <v>31</v>
      </c>
      <c r="M189" t="s">
        <v>44</v>
      </c>
      <c r="N189">
        <v>15</v>
      </c>
      <c r="O189">
        <v>1</v>
      </c>
      <c r="P189">
        <v>0</v>
      </c>
      <c r="Q189">
        <v>2769.61271102284</v>
      </c>
      <c r="R189">
        <v>15.88877855014896</v>
      </c>
      <c r="S189">
        <v>174.3125</v>
      </c>
      <c r="T189">
        <v>0</v>
      </c>
      <c r="U189">
        <v>0</v>
      </c>
      <c r="V189">
        <v>0</v>
      </c>
      <c r="W189">
        <v>7.933796874815411</v>
      </c>
      <c r="X189">
        <v>0</v>
      </c>
    </row>
    <row r="190" spans="1:24">
      <c r="A190" t="s">
        <v>609</v>
      </c>
      <c r="B190" t="s">
        <v>610</v>
      </c>
      <c r="C190" t="s">
        <v>26</v>
      </c>
      <c r="D190">
        <v>2.65</v>
      </c>
      <c r="E190">
        <v>2994</v>
      </c>
      <c r="F190">
        <v>17</v>
      </c>
      <c r="G190" t="s">
        <v>47</v>
      </c>
      <c r="H190" t="s">
        <v>611</v>
      </c>
      <c r="I190" t="s">
        <v>29</v>
      </c>
      <c r="J190" t="s">
        <v>31</v>
      </c>
      <c r="K190" t="s">
        <v>38</v>
      </c>
      <c r="L190" t="s">
        <v>31</v>
      </c>
      <c r="M190" t="s">
        <v>44</v>
      </c>
      <c r="N190">
        <v>15</v>
      </c>
      <c r="O190">
        <v>1</v>
      </c>
      <c r="P190">
        <v>0</v>
      </c>
      <c r="Q190">
        <v>1129.811320754717</v>
      </c>
      <c r="R190">
        <v>6.415094339622642</v>
      </c>
      <c r="S190">
        <v>176.1176470588235</v>
      </c>
      <c r="T190">
        <v>0</v>
      </c>
      <c r="U190">
        <v>0</v>
      </c>
      <c r="V190">
        <v>0</v>
      </c>
      <c r="W190">
        <v>8.00469951054955</v>
      </c>
      <c r="X190">
        <v>0</v>
      </c>
    </row>
    <row r="191" spans="1:24">
      <c r="A191" t="s">
        <v>612</v>
      </c>
      <c r="B191" t="s">
        <v>613</v>
      </c>
      <c r="C191" t="s">
        <v>26</v>
      </c>
      <c r="D191">
        <v>0.062</v>
      </c>
      <c r="E191">
        <v>3635</v>
      </c>
      <c r="F191">
        <v>3</v>
      </c>
      <c r="G191" t="s">
        <v>47</v>
      </c>
      <c r="H191" t="s">
        <v>614</v>
      </c>
      <c r="I191" t="s">
        <v>90</v>
      </c>
      <c r="J191" t="s">
        <v>31</v>
      </c>
      <c r="K191" t="s">
        <v>38</v>
      </c>
      <c r="L191" t="s">
        <v>30</v>
      </c>
      <c r="M191" t="s">
        <v>97</v>
      </c>
      <c r="N191">
        <v>15</v>
      </c>
      <c r="O191">
        <v>1</v>
      </c>
      <c r="P191">
        <v>0</v>
      </c>
      <c r="Q191">
        <v>58629.03225806452</v>
      </c>
      <c r="R191">
        <v>48.38709677419355</v>
      </c>
      <c r="S191">
        <v>1211.666666666667</v>
      </c>
      <c r="T191">
        <v>0</v>
      </c>
      <c r="U191">
        <v>0</v>
      </c>
      <c r="V191">
        <v>0</v>
      </c>
      <c r="W191">
        <v>8.19863945529737</v>
      </c>
      <c r="X191">
        <v>1</v>
      </c>
    </row>
    <row r="192" spans="1:24">
      <c r="A192" t="s">
        <v>615</v>
      </c>
      <c r="B192" t="s">
        <v>616</v>
      </c>
      <c r="C192" t="s">
        <v>35</v>
      </c>
      <c r="D192">
        <v>2.523</v>
      </c>
      <c r="E192">
        <v>3078</v>
      </c>
      <c r="F192">
        <v>22</v>
      </c>
      <c r="G192" t="s">
        <v>47</v>
      </c>
      <c r="H192" t="s">
        <v>617</v>
      </c>
      <c r="I192" t="s">
        <v>29</v>
      </c>
      <c r="J192" t="s">
        <v>31</v>
      </c>
      <c r="K192" t="s">
        <v>31</v>
      </c>
      <c r="L192" t="s">
        <v>30</v>
      </c>
      <c r="M192" t="s">
        <v>97</v>
      </c>
      <c r="N192">
        <v>15</v>
      </c>
      <c r="O192">
        <v>1</v>
      </c>
      <c r="P192">
        <v>0</v>
      </c>
      <c r="Q192">
        <v>1219.976218787158</v>
      </c>
      <c r="R192">
        <v>8.719778042013475</v>
      </c>
      <c r="S192">
        <v>139.9090909090909</v>
      </c>
      <c r="T192">
        <v>0</v>
      </c>
      <c r="U192">
        <v>0</v>
      </c>
      <c r="V192">
        <v>0</v>
      </c>
      <c r="W192">
        <v>8.0323601479245</v>
      </c>
      <c r="X192">
        <v>0</v>
      </c>
    </row>
    <row r="193" spans="1:24">
      <c r="A193" t="s">
        <v>618</v>
      </c>
      <c r="B193" t="s">
        <v>619</v>
      </c>
      <c r="C193" t="s">
        <v>35</v>
      </c>
      <c r="D193">
        <v>6.422</v>
      </c>
      <c r="E193">
        <v>548</v>
      </c>
      <c r="F193">
        <v>26</v>
      </c>
      <c r="G193" t="s">
        <v>47</v>
      </c>
      <c r="H193" t="s">
        <v>620</v>
      </c>
      <c r="I193" t="s">
        <v>29</v>
      </c>
      <c r="J193" t="s">
        <v>31</v>
      </c>
      <c r="K193" t="s">
        <v>30</v>
      </c>
      <c r="L193" t="s">
        <v>31</v>
      </c>
      <c r="M193" t="s">
        <v>97</v>
      </c>
      <c r="N193">
        <v>15</v>
      </c>
      <c r="O193">
        <v>1</v>
      </c>
      <c r="P193">
        <v>0</v>
      </c>
      <c r="Q193">
        <v>85.3316723762068</v>
      </c>
      <c r="R193">
        <v>4.048582995951417</v>
      </c>
      <c r="S193">
        <v>21.07692307692308</v>
      </c>
      <c r="T193">
        <v>0</v>
      </c>
      <c r="U193">
        <v>0</v>
      </c>
      <c r="V193">
        <v>0</v>
      </c>
      <c r="W193">
        <v>6.30809844150953</v>
      </c>
      <c r="X193">
        <v>0</v>
      </c>
    </row>
    <row r="194" spans="1:24">
      <c r="A194" t="s">
        <v>621</v>
      </c>
      <c r="B194" t="s">
        <v>622</v>
      </c>
      <c r="C194" t="s">
        <v>35</v>
      </c>
      <c r="D194">
        <v>7.169</v>
      </c>
      <c r="E194">
        <v>27172</v>
      </c>
      <c r="F194">
        <v>19</v>
      </c>
      <c r="G194" t="s">
        <v>62</v>
      </c>
      <c r="H194" t="s">
        <v>623</v>
      </c>
      <c r="I194" t="s">
        <v>29</v>
      </c>
      <c r="J194" t="s">
        <v>30</v>
      </c>
      <c r="K194" t="s">
        <v>31</v>
      </c>
      <c r="L194" t="s">
        <v>38</v>
      </c>
      <c r="M194" t="s">
        <v>97</v>
      </c>
      <c r="N194">
        <v>16</v>
      </c>
      <c r="O194">
        <v>1</v>
      </c>
      <c r="P194">
        <v>0</v>
      </c>
      <c r="Q194">
        <v>3790.207839308133</v>
      </c>
      <c r="R194">
        <v>2.650299902357372</v>
      </c>
      <c r="S194">
        <v>1430.105263157895</v>
      </c>
      <c r="T194">
        <v>0</v>
      </c>
      <c r="U194">
        <v>0</v>
      </c>
      <c r="V194">
        <v>1</v>
      </c>
      <c r="W194">
        <v>10.2099791122249</v>
      </c>
      <c r="X194">
        <v>0</v>
      </c>
    </row>
    <row r="195" spans="1:24">
      <c r="A195" t="s">
        <v>624</v>
      </c>
      <c r="B195" t="s">
        <v>625</v>
      </c>
      <c r="C195" t="s">
        <v>35</v>
      </c>
      <c r="D195">
        <v>1.651</v>
      </c>
      <c r="E195">
        <v>2268</v>
      </c>
      <c r="F195">
        <v>14</v>
      </c>
      <c r="G195" t="s">
        <v>62</v>
      </c>
      <c r="H195" t="s">
        <v>626</v>
      </c>
      <c r="I195" t="s">
        <v>43</v>
      </c>
      <c r="J195" t="s">
        <v>30</v>
      </c>
      <c r="K195" t="s">
        <v>38</v>
      </c>
      <c r="L195" t="s">
        <v>31</v>
      </c>
      <c r="M195" t="s">
        <v>97</v>
      </c>
      <c r="N195">
        <v>16</v>
      </c>
      <c r="O195">
        <v>1</v>
      </c>
      <c r="P195">
        <v>0</v>
      </c>
      <c r="Q195">
        <v>1373.712901271956</v>
      </c>
      <c r="R195">
        <v>8.479709267110842</v>
      </c>
      <c r="S195">
        <v>162</v>
      </c>
      <c r="T195">
        <v>0</v>
      </c>
      <c r="U195">
        <v>0</v>
      </c>
      <c r="V195">
        <v>0</v>
      </c>
      <c r="W195">
        <v>7.727094484779841</v>
      </c>
      <c r="X195">
        <v>1</v>
      </c>
    </row>
    <row r="196" spans="1:24">
      <c r="A196" t="s">
        <v>627</v>
      </c>
      <c r="B196" t="s">
        <v>628</v>
      </c>
      <c r="C196" t="s">
        <v>26</v>
      </c>
      <c r="D196">
        <v>3.893</v>
      </c>
      <c r="E196">
        <v>5143</v>
      </c>
      <c r="F196">
        <v>21</v>
      </c>
      <c r="G196" t="s">
        <v>47</v>
      </c>
      <c r="H196" t="s">
        <v>629</v>
      </c>
      <c r="I196" t="s">
        <v>29</v>
      </c>
      <c r="J196" t="s">
        <v>31</v>
      </c>
      <c r="K196" t="s">
        <v>31</v>
      </c>
      <c r="L196" t="s">
        <v>31</v>
      </c>
      <c r="M196" t="s">
        <v>76</v>
      </c>
      <c r="N196">
        <v>16</v>
      </c>
      <c r="O196">
        <v>1</v>
      </c>
      <c r="P196">
        <v>0</v>
      </c>
      <c r="Q196">
        <v>1321.089134343694</v>
      </c>
      <c r="R196">
        <v>5.394297456974057</v>
      </c>
      <c r="S196">
        <v>244.9047619047619</v>
      </c>
      <c r="T196">
        <v>0</v>
      </c>
      <c r="U196">
        <v>0</v>
      </c>
      <c r="V196">
        <v>0</v>
      </c>
      <c r="W196">
        <v>8.545586265917455</v>
      </c>
      <c r="X196">
        <v>0</v>
      </c>
    </row>
    <row r="197" spans="1:24">
      <c r="A197" t="s">
        <v>630</v>
      </c>
      <c r="B197" t="s">
        <v>631</v>
      </c>
      <c r="C197" t="s">
        <v>35</v>
      </c>
      <c r="D197">
        <v>3.409</v>
      </c>
      <c r="E197">
        <v>5030</v>
      </c>
      <c r="F197">
        <v>25</v>
      </c>
      <c r="G197" t="s">
        <v>36</v>
      </c>
      <c r="H197" t="s">
        <v>632</v>
      </c>
      <c r="I197" t="s">
        <v>29</v>
      </c>
      <c r="J197" t="s">
        <v>38</v>
      </c>
      <c r="K197" t="s">
        <v>38</v>
      </c>
      <c r="L197" t="s">
        <v>30</v>
      </c>
      <c r="M197" t="s">
        <v>32</v>
      </c>
      <c r="N197">
        <v>16</v>
      </c>
      <c r="O197">
        <v>1</v>
      </c>
      <c r="P197">
        <v>0</v>
      </c>
      <c r="Q197">
        <v>1475.506013493693</v>
      </c>
      <c r="R197">
        <v>7.333528894103843</v>
      </c>
      <c r="S197">
        <v>201.2</v>
      </c>
      <c r="T197">
        <v>0</v>
      </c>
      <c r="U197">
        <v>0</v>
      </c>
      <c r="V197">
        <v>0</v>
      </c>
      <c r="W197">
        <v>8.523374050491318</v>
      </c>
      <c r="X197">
        <v>0</v>
      </c>
    </row>
    <row r="198" spans="1:24">
      <c r="A198" t="s">
        <v>633</v>
      </c>
      <c r="B198" t="s">
        <v>634</v>
      </c>
      <c r="C198" t="s">
        <v>52</v>
      </c>
      <c r="D198">
        <v>0.5600000000000001</v>
      </c>
      <c r="E198">
        <v>4650</v>
      </c>
      <c r="F198">
        <v>19</v>
      </c>
      <c r="G198" t="s">
        <v>47</v>
      </c>
      <c r="H198" t="s">
        <v>635</v>
      </c>
      <c r="I198" t="s">
        <v>29</v>
      </c>
      <c r="J198" t="s">
        <v>31</v>
      </c>
      <c r="K198" t="s">
        <v>38</v>
      </c>
      <c r="L198" t="s">
        <v>31</v>
      </c>
      <c r="M198" t="s">
        <v>76</v>
      </c>
      <c r="N198">
        <v>16</v>
      </c>
      <c r="O198">
        <v>1</v>
      </c>
      <c r="P198">
        <v>0</v>
      </c>
      <c r="Q198">
        <v>8303.571428571428</v>
      </c>
      <c r="R198">
        <v>33.92857142857142</v>
      </c>
      <c r="S198">
        <v>244.7368421052632</v>
      </c>
      <c r="T198">
        <v>0</v>
      </c>
      <c r="U198">
        <v>0</v>
      </c>
      <c r="V198">
        <v>0</v>
      </c>
      <c r="W198">
        <v>8.444837529224097</v>
      </c>
      <c r="X198">
        <v>0</v>
      </c>
    </row>
    <row r="199" spans="1:24">
      <c r="A199" t="s">
        <v>636</v>
      </c>
      <c r="B199" t="s">
        <v>637</v>
      </c>
      <c r="C199" t="s">
        <v>35</v>
      </c>
      <c r="D199">
        <v>0.8129999999999999</v>
      </c>
      <c r="E199">
        <v>3756</v>
      </c>
      <c r="F199">
        <v>30</v>
      </c>
      <c r="G199" t="s">
        <v>36</v>
      </c>
      <c r="H199" t="s">
        <v>638</v>
      </c>
      <c r="I199" t="s">
        <v>29</v>
      </c>
      <c r="J199" t="s">
        <v>38</v>
      </c>
      <c r="K199" t="s">
        <v>30</v>
      </c>
      <c r="L199" t="s">
        <v>30</v>
      </c>
      <c r="M199" t="s">
        <v>44</v>
      </c>
      <c r="N199">
        <v>16</v>
      </c>
      <c r="O199">
        <v>1</v>
      </c>
      <c r="P199">
        <v>0</v>
      </c>
      <c r="Q199">
        <v>4619.926199261993</v>
      </c>
      <c r="R199">
        <v>36.90036900369004</v>
      </c>
      <c r="S199">
        <v>125.2</v>
      </c>
      <c r="T199">
        <v>0</v>
      </c>
      <c r="U199">
        <v>0</v>
      </c>
      <c r="V199">
        <v>0</v>
      </c>
      <c r="W199">
        <v>8.231376045573969</v>
      </c>
      <c r="X199">
        <v>0</v>
      </c>
    </row>
    <row r="200" spans="1:24">
      <c r="A200" t="s">
        <v>639</v>
      </c>
      <c r="B200" t="s">
        <v>640</v>
      </c>
      <c r="C200" t="s">
        <v>130</v>
      </c>
      <c r="D200">
        <v>3.711</v>
      </c>
      <c r="E200">
        <v>2622</v>
      </c>
      <c r="F200">
        <v>21</v>
      </c>
      <c r="G200" t="s">
        <v>62</v>
      </c>
      <c r="H200" t="s">
        <v>641</v>
      </c>
      <c r="I200" t="s">
        <v>43</v>
      </c>
      <c r="J200" t="s">
        <v>30</v>
      </c>
      <c r="K200" t="s">
        <v>30</v>
      </c>
      <c r="L200" t="s">
        <v>30</v>
      </c>
      <c r="M200" t="s">
        <v>83</v>
      </c>
      <c r="N200">
        <v>16</v>
      </c>
      <c r="O200">
        <v>1</v>
      </c>
      <c r="P200">
        <v>0</v>
      </c>
      <c r="Q200">
        <v>706.5481002425223</v>
      </c>
      <c r="R200">
        <v>5.658852061438965</v>
      </c>
      <c r="S200">
        <v>124.8571428571429</v>
      </c>
      <c r="T200">
        <v>0</v>
      </c>
      <c r="U200">
        <v>0</v>
      </c>
      <c r="V200">
        <v>0</v>
      </c>
      <c r="W200">
        <v>7.872073979866873</v>
      </c>
      <c r="X200">
        <v>1</v>
      </c>
    </row>
    <row r="201" spans="1:24">
      <c r="A201" t="s">
        <v>642</v>
      </c>
      <c r="B201" t="s">
        <v>643</v>
      </c>
      <c r="C201" t="s">
        <v>35</v>
      </c>
      <c r="D201">
        <v>7.41</v>
      </c>
      <c r="E201">
        <v>32695</v>
      </c>
      <c r="F201">
        <v>66</v>
      </c>
      <c r="G201" t="s">
        <v>47</v>
      </c>
      <c r="H201" t="s">
        <v>644</v>
      </c>
      <c r="I201" t="s">
        <v>49</v>
      </c>
      <c r="J201" t="s">
        <v>31</v>
      </c>
      <c r="K201" t="s">
        <v>30</v>
      </c>
      <c r="L201" t="s">
        <v>30</v>
      </c>
      <c r="M201" t="s">
        <v>44</v>
      </c>
      <c r="N201">
        <v>16</v>
      </c>
      <c r="O201">
        <v>1</v>
      </c>
      <c r="P201">
        <v>0</v>
      </c>
      <c r="Q201">
        <v>4412.280701754386</v>
      </c>
      <c r="R201">
        <v>8.906882591093117</v>
      </c>
      <c r="S201">
        <v>495.3787878787879</v>
      </c>
      <c r="T201">
        <v>0</v>
      </c>
      <c r="U201">
        <v>0</v>
      </c>
      <c r="V201">
        <v>1</v>
      </c>
      <c r="W201">
        <v>10.39500802524411</v>
      </c>
      <c r="X201">
        <v>1</v>
      </c>
    </row>
    <row r="202" spans="1:24">
      <c r="A202" t="s">
        <v>645</v>
      </c>
      <c r="B202" t="s">
        <v>646</v>
      </c>
      <c r="C202" t="s">
        <v>35</v>
      </c>
      <c r="D202">
        <v>4.446</v>
      </c>
      <c r="E202">
        <v>15462</v>
      </c>
      <c r="F202">
        <v>21</v>
      </c>
      <c r="G202" t="s">
        <v>62</v>
      </c>
      <c r="H202" t="s">
        <v>647</v>
      </c>
      <c r="I202" t="s">
        <v>29</v>
      </c>
      <c r="J202" t="s">
        <v>30</v>
      </c>
      <c r="K202" t="s">
        <v>30</v>
      </c>
      <c r="L202" t="s">
        <v>30</v>
      </c>
      <c r="M202" t="s">
        <v>32</v>
      </c>
      <c r="N202">
        <v>16</v>
      </c>
      <c r="O202">
        <v>1</v>
      </c>
      <c r="P202">
        <v>0</v>
      </c>
      <c r="Q202">
        <v>3477.732793522267</v>
      </c>
      <c r="R202">
        <v>4.723346828609987</v>
      </c>
      <c r="S202">
        <v>736.2857142857143</v>
      </c>
      <c r="T202">
        <v>0</v>
      </c>
      <c r="U202">
        <v>0</v>
      </c>
      <c r="V202">
        <v>1</v>
      </c>
      <c r="W202">
        <v>9.64620535247543</v>
      </c>
      <c r="X202">
        <v>0</v>
      </c>
    </row>
    <row r="203" spans="1:24">
      <c r="A203" t="s">
        <v>648</v>
      </c>
      <c r="B203" t="s">
        <v>649</v>
      </c>
      <c r="C203" t="s">
        <v>35</v>
      </c>
      <c r="D203">
        <v>3.721</v>
      </c>
      <c r="E203">
        <v>3154</v>
      </c>
      <c r="F203">
        <v>17</v>
      </c>
      <c r="G203" t="s">
        <v>27</v>
      </c>
      <c r="H203" t="s">
        <v>650</v>
      </c>
      <c r="I203" t="s">
        <v>29</v>
      </c>
      <c r="J203" t="s">
        <v>30</v>
      </c>
      <c r="K203" t="s">
        <v>31</v>
      </c>
      <c r="L203" t="s">
        <v>30</v>
      </c>
      <c r="M203" t="s">
        <v>83</v>
      </c>
      <c r="N203">
        <v>16</v>
      </c>
      <c r="O203">
        <v>1</v>
      </c>
      <c r="P203">
        <v>0</v>
      </c>
      <c r="Q203">
        <v>847.6216070948669</v>
      </c>
      <c r="R203">
        <v>4.568664337543671</v>
      </c>
      <c r="S203">
        <v>185.5294117647059</v>
      </c>
      <c r="T203">
        <v>0</v>
      </c>
      <c r="U203">
        <v>0</v>
      </c>
      <c r="V203">
        <v>0</v>
      </c>
      <c r="W203">
        <v>8.056743774975313</v>
      </c>
      <c r="X203">
        <v>0</v>
      </c>
    </row>
    <row r="204" spans="1:24">
      <c r="A204" t="s">
        <v>651</v>
      </c>
      <c r="B204" t="s">
        <v>652</v>
      </c>
      <c r="C204" t="s">
        <v>35</v>
      </c>
      <c r="D204">
        <v>3.125</v>
      </c>
      <c r="E204">
        <v>1771</v>
      </c>
      <c r="F204">
        <v>13</v>
      </c>
      <c r="G204" t="s">
        <v>36</v>
      </c>
      <c r="H204" t="s">
        <v>653</v>
      </c>
      <c r="I204" t="s">
        <v>29</v>
      </c>
      <c r="J204" t="s">
        <v>38</v>
      </c>
      <c r="K204" t="s">
        <v>30</v>
      </c>
      <c r="L204" t="s">
        <v>30</v>
      </c>
      <c r="M204" t="s">
        <v>76</v>
      </c>
      <c r="N204">
        <v>16</v>
      </c>
      <c r="O204">
        <v>1</v>
      </c>
      <c r="P204">
        <v>0</v>
      </c>
      <c r="Q204">
        <v>566.72</v>
      </c>
      <c r="R204">
        <v>4.16</v>
      </c>
      <c r="S204">
        <v>136.2307692307692</v>
      </c>
      <c r="T204">
        <v>0</v>
      </c>
      <c r="U204">
        <v>0</v>
      </c>
      <c r="V204">
        <v>0</v>
      </c>
      <c r="W204">
        <v>7.479864131165026</v>
      </c>
      <c r="X204">
        <v>0</v>
      </c>
    </row>
    <row r="205" spans="1:24">
      <c r="A205" t="s">
        <v>654</v>
      </c>
      <c r="B205" t="s">
        <v>655</v>
      </c>
      <c r="C205" t="s">
        <v>26</v>
      </c>
      <c r="D205">
        <v>1.428</v>
      </c>
      <c r="E205">
        <v>1195</v>
      </c>
      <c r="F205">
        <v>19</v>
      </c>
      <c r="G205" t="s">
        <v>36</v>
      </c>
      <c r="H205" t="s">
        <v>656</v>
      </c>
      <c r="I205" t="s">
        <v>29</v>
      </c>
      <c r="J205" t="s">
        <v>38</v>
      </c>
      <c r="K205" t="s">
        <v>31</v>
      </c>
      <c r="L205" t="s">
        <v>31</v>
      </c>
      <c r="M205" t="s">
        <v>39</v>
      </c>
      <c r="N205">
        <v>16</v>
      </c>
      <c r="O205">
        <v>1</v>
      </c>
      <c r="P205">
        <v>0</v>
      </c>
      <c r="Q205">
        <v>836.8347338935574</v>
      </c>
      <c r="R205">
        <v>13.30532212885154</v>
      </c>
      <c r="S205">
        <v>62.89473684210526</v>
      </c>
      <c r="T205">
        <v>0</v>
      </c>
      <c r="U205">
        <v>0</v>
      </c>
      <c r="V205">
        <v>0</v>
      </c>
      <c r="W205">
        <v>7.086737934510577</v>
      </c>
      <c r="X205">
        <v>0</v>
      </c>
    </row>
    <row r="206" spans="1:24">
      <c r="A206" t="s">
        <v>657</v>
      </c>
      <c r="B206" t="s">
        <v>658</v>
      </c>
      <c r="C206" t="s">
        <v>26</v>
      </c>
      <c r="D206">
        <v>6.364</v>
      </c>
      <c r="E206">
        <v>1869</v>
      </c>
      <c r="F206">
        <v>14</v>
      </c>
      <c r="G206" t="s">
        <v>62</v>
      </c>
      <c r="H206" t="s">
        <v>659</v>
      </c>
      <c r="I206" t="s">
        <v>29</v>
      </c>
      <c r="J206" t="s">
        <v>30</v>
      </c>
      <c r="K206" t="s">
        <v>30</v>
      </c>
      <c r="L206" t="s">
        <v>31</v>
      </c>
      <c r="M206" t="s">
        <v>83</v>
      </c>
      <c r="N206">
        <v>17</v>
      </c>
      <c r="O206">
        <v>1</v>
      </c>
      <c r="P206">
        <v>0</v>
      </c>
      <c r="Q206">
        <v>293.6832181018228</v>
      </c>
      <c r="R206">
        <v>2.199874292897549</v>
      </c>
      <c r="S206">
        <v>133.5</v>
      </c>
      <c r="T206">
        <v>0</v>
      </c>
      <c r="U206">
        <v>0</v>
      </c>
      <c r="V206">
        <v>0</v>
      </c>
      <c r="W206">
        <v>7.533693709848633</v>
      </c>
      <c r="X206">
        <v>0</v>
      </c>
    </row>
    <row r="207" spans="1:24">
      <c r="A207" t="s">
        <v>660</v>
      </c>
      <c r="B207" t="s">
        <v>661</v>
      </c>
      <c r="C207" t="s">
        <v>35</v>
      </c>
      <c r="D207">
        <v>10.701</v>
      </c>
      <c r="E207">
        <v>3186</v>
      </c>
      <c r="F207">
        <v>25</v>
      </c>
      <c r="G207" t="s">
        <v>47</v>
      </c>
      <c r="H207" t="s">
        <v>662</v>
      </c>
      <c r="I207" t="s">
        <v>29</v>
      </c>
      <c r="J207" t="s">
        <v>31</v>
      </c>
      <c r="K207" t="s">
        <v>31</v>
      </c>
      <c r="L207" t="s">
        <v>38</v>
      </c>
      <c r="M207" t="s">
        <v>83</v>
      </c>
      <c r="N207">
        <v>17</v>
      </c>
      <c r="O207">
        <v>1</v>
      </c>
      <c r="P207">
        <v>0</v>
      </c>
      <c r="Q207">
        <v>297.7291841883936</v>
      </c>
      <c r="R207">
        <v>2.336230258854313</v>
      </c>
      <c r="S207">
        <v>127.44</v>
      </c>
      <c r="T207">
        <v>0</v>
      </c>
      <c r="U207">
        <v>0</v>
      </c>
      <c r="V207">
        <v>0</v>
      </c>
      <c r="W207">
        <v>8.066835314417336</v>
      </c>
      <c r="X207">
        <v>0</v>
      </c>
    </row>
    <row r="208" spans="1:24">
      <c r="A208" t="s">
        <v>663</v>
      </c>
      <c r="B208" t="s">
        <v>664</v>
      </c>
      <c r="C208" t="s">
        <v>26</v>
      </c>
      <c r="D208">
        <v>8.989000000000001</v>
      </c>
      <c r="E208">
        <v>5179</v>
      </c>
      <c r="F208">
        <v>18</v>
      </c>
      <c r="G208" t="s">
        <v>47</v>
      </c>
      <c r="H208" t="s">
        <v>665</v>
      </c>
      <c r="I208" t="s">
        <v>29</v>
      </c>
      <c r="J208" t="s">
        <v>31</v>
      </c>
      <c r="K208" t="s">
        <v>30</v>
      </c>
      <c r="L208" t="s">
        <v>30</v>
      </c>
      <c r="M208" t="s">
        <v>97</v>
      </c>
      <c r="N208">
        <v>17</v>
      </c>
      <c r="O208">
        <v>1</v>
      </c>
      <c r="P208">
        <v>0</v>
      </c>
      <c r="Q208">
        <v>576.1486260985648</v>
      </c>
      <c r="R208">
        <v>2.002447435754811</v>
      </c>
      <c r="S208">
        <v>287.7222222222222</v>
      </c>
      <c r="T208">
        <v>0</v>
      </c>
      <c r="U208">
        <v>0</v>
      </c>
      <c r="V208">
        <v>0</v>
      </c>
      <c r="W208">
        <v>8.55256033525353</v>
      </c>
      <c r="X208">
        <v>0</v>
      </c>
    </row>
    <row r="209" spans="1:24">
      <c r="A209" t="s">
        <v>666</v>
      </c>
      <c r="B209" t="s">
        <v>667</v>
      </c>
      <c r="C209" t="s">
        <v>35</v>
      </c>
      <c r="D209">
        <v>5.017</v>
      </c>
      <c r="E209">
        <v>2142</v>
      </c>
      <c r="F209">
        <v>18</v>
      </c>
      <c r="G209" t="s">
        <v>62</v>
      </c>
      <c r="H209" t="s">
        <v>668</v>
      </c>
      <c r="I209" t="s">
        <v>29</v>
      </c>
      <c r="J209" t="s">
        <v>30</v>
      </c>
      <c r="K209" t="s">
        <v>38</v>
      </c>
      <c r="L209" t="s">
        <v>38</v>
      </c>
      <c r="M209" t="s">
        <v>39</v>
      </c>
      <c r="N209">
        <v>17</v>
      </c>
      <c r="O209">
        <v>1</v>
      </c>
      <c r="P209">
        <v>0</v>
      </c>
      <c r="Q209">
        <v>426.948375523221</v>
      </c>
      <c r="R209">
        <v>3.58780147498505</v>
      </c>
      <c r="S209">
        <v>119</v>
      </c>
      <c r="T209">
        <v>0</v>
      </c>
      <c r="U209">
        <v>0</v>
      </c>
      <c r="V209">
        <v>0</v>
      </c>
      <c r="W209">
        <v>7.669961995473577</v>
      </c>
      <c r="X209">
        <v>0</v>
      </c>
    </row>
    <row r="210" spans="1:24">
      <c r="A210" t="s">
        <v>669</v>
      </c>
      <c r="B210" t="s">
        <v>670</v>
      </c>
      <c r="C210" t="s">
        <v>130</v>
      </c>
      <c r="D210">
        <v>1.51</v>
      </c>
      <c r="E210">
        <v>4938</v>
      </c>
      <c r="F210">
        <v>22</v>
      </c>
      <c r="G210" t="s">
        <v>62</v>
      </c>
      <c r="H210" t="s">
        <v>671</v>
      </c>
      <c r="I210" t="s">
        <v>29</v>
      </c>
      <c r="J210" t="s">
        <v>30</v>
      </c>
      <c r="K210" t="s">
        <v>30</v>
      </c>
      <c r="L210" t="s">
        <v>31</v>
      </c>
      <c r="M210" t="s">
        <v>76</v>
      </c>
      <c r="N210">
        <v>17</v>
      </c>
      <c r="O210">
        <v>1</v>
      </c>
      <c r="P210">
        <v>0</v>
      </c>
      <c r="Q210">
        <v>3270.198675496689</v>
      </c>
      <c r="R210">
        <v>14.56953642384106</v>
      </c>
      <c r="S210">
        <v>224.4545454545455</v>
      </c>
      <c r="T210">
        <v>0</v>
      </c>
      <c r="U210">
        <v>0</v>
      </c>
      <c r="V210">
        <v>0</v>
      </c>
      <c r="W210">
        <v>8.504918160540624</v>
      </c>
      <c r="X210">
        <v>0</v>
      </c>
    </row>
    <row r="211" spans="1:24">
      <c r="A211" t="s">
        <v>672</v>
      </c>
      <c r="B211" t="s">
        <v>673</v>
      </c>
      <c r="C211" t="s">
        <v>52</v>
      </c>
      <c r="D211">
        <v>3.04</v>
      </c>
      <c r="E211">
        <v>1940</v>
      </c>
      <c r="F211">
        <v>20</v>
      </c>
      <c r="G211" t="s">
        <v>27</v>
      </c>
      <c r="H211" t="s">
        <v>674</v>
      </c>
      <c r="I211" t="s">
        <v>29</v>
      </c>
      <c r="J211" t="s">
        <v>30</v>
      </c>
      <c r="K211" t="s">
        <v>30</v>
      </c>
      <c r="L211" t="s">
        <v>31</v>
      </c>
      <c r="M211" t="s">
        <v>44</v>
      </c>
      <c r="N211">
        <v>17</v>
      </c>
      <c r="O211">
        <v>1</v>
      </c>
      <c r="P211">
        <v>0</v>
      </c>
      <c r="Q211">
        <v>638.1578947368421</v>
      </c>
      <c r="R211">
        <v>6.578947368421052</v>
      </c>
      <c r="S211">
        <v>97</v>
      </c>
      <c r="T211">
        <v>0</v>
      </c>
      <c r="U211">
        <v>0</v>
      </c>
      <c r="V211">
        <v>0</v>
      </c>
      <c r="W211">
        <v>7.57095858316901</v>
      </c>
      <c r="X211">
        <v>0</v>
      </c>
    </row>
    <row r="212" spans="1:24">
      <c r="A212" t="s">
        <v>675</v>
      </c>
      <c r="B212" t="s">
        <v>676</v>
      </c>
      <c r="C212" t="s">
        <v>26</v>
      </c>
      <c r="D212">
        <v>2.632</v>
      </c>
      <c r="E212">
        <v>1288</v>
      </c>
      <c r="F212">
        <v>26</v>
      </c>
      <c r="G212" t="s">
        <v>36</v>
      </c>
      <c r="H212" t="s">
        <v>677</v>
      </c>
      <c r="I212" t="s">
        <v>29</v>
      </c>
      <c r="J212" t="s">
        <v>38</v>
      </c>
      <c r="K212" t="s">
        <v>31</v>
      </c>
      <c r="L212" t="s">
        <v>31</v>
      </c>
      <c r="M212" t="s">
        <v>97</v>
      </c>
      <c r="N212">
        <v>17</v>
      </c>
      <c r="O212">
        <v>1</v>
      </c>
      <c r="P212">
        <v>0</v>
      </c>
      <c r="Q212">
        <v>489.3617021276596</v>
      </c>
      <c r="R212">
        <v>9.878419452887538</v>
      </c>
      <c r="S212">
        <v>49.53846153846154</v>
      </c>
      <c r="T212">
        <v>0</v>
      </c>
      <c r="U212">
        <v>0</v>
      </c>
      <c r="V212">
        <v>0</v>
      </c>
      <c r="W212">
        <v>7.161622002939187</v>
      </c>
      <c r="X212">
        <v>0</v>
      </c>
    </row>
    <row r="213" spans="1:24">
      <c r="A213" t="s">
        <v>678</v>
      </c>
      <c r="B213" t="s">
        <v>679</v>
      </c>
      <c r="C213" t="s">
        <v>35</v>
      </c>
      <c r="D213">
        <v>2.033</v>
      </c>
      <c r="E213">
        <v>4037</v>
      </c>
      <c r="F213">
        <v>23</v>
      </c>
      <c r="G213" t="s">
        <v>47</v>
      </c>
      <c r="H213" t="s">
        <v>680</v>
      </c>
      <c r="I213" t="s">
        <v>29</v>
      </c>
      <c r="J213" t="s">
        <v>31</v>
      </c>
      <c r="K213" t="s">
        <v>30</v>
      </c>
      <c r="L213" t="s">
        <v>31</v>
      </c>
      <c r="M213" t="s">
        <v>39</v>
      </c>
      <c r="N213">
        <v>17</v>
      </c>
      <c r="O213">
        <v>1</v>
      </c>
      <c r="P213">
        <v>0</v>
      </c>
      <c r="Q213">
        <v>1985.735366453517</v>
      </c>
      <c r="R213">
        <v>11.31333005410723</v>
      </c>
      <c r="S213">
        <v>175.5217391304348</v>
      </c>
      <c r="T213">
        <v>0</v>
      </c>
      <c r="U213">
        <v>0</v>
      </c>
      <c r="V213">
        <v>0</v>
      </c>
      <c r="W213">
        <v>8.303504798872783</v>
      </c>
      <c r="X213">
        <v>0</v>
      </c>
    </row>
    <row r="214" spans="1:24">
      <c r="A214" t="s">
        <v>681</v>
      </c>
      <c r="B214" t="s">
        <v>682</v>
      </c>
      <c r="C214" t="s">
        <v>52</v>
      </c>
      <c r="D214">
        <v>4.384</v>
      </c>
      <c r="E214">
        <v>1243</v>
      </c>
      <c r="F214">
        <v>20</v>
      </c>
      <c r="G214" t="s">
        <v>62</v>
      </c>
      <c r="H214" t="s">
        <v>683</v>
      </c>
      <c r="I214" t="s">
        <v>29</v>
      </c>
      <c r="J214" t="s">
        <v>30</v>
      </c>
      <c r="K214" t="s">
        <v>30</v>
      </c>
      <c r="L214" t="s">
        <v>31</v>
      </c>
      <c r="M214" t="s">
        <v>97</v>
      </c>
      <c r="N214">
        <v>17</v>
      </c>
      <c r="O214">
        <v>1</v>
      </c>
      <c r="P214">
        <v>0</v>
      </c>
      <c r="Q214">
        <v>283.5310218978102</v>
      </c>
      <c r="R214">
        <v>4.562043795620437</v>
      </c>
      <c r="S214">
        <v>62.15</v>
      </c>
      <c r="T214">
        <v>0</v>
      </c>
      <c r="U214">
        <v>0</v>
      </c>
      <c r="V214">
        <v>0</v>
      </c>
      <c r="W214">
        <v>7.126087273299125</v>
      </c>
      <c r="X214">
        <v>0</v>
      </c>
    </row>
    <row r="215" spans="1:24">
      <c r="A215" t="s">
        <v>684</v>
      </c>
      <c r="B215" t="s">
        <v>685</v>
      </c>
      <c r="C215" t="s">
        <v>35</v>
      </c>
      <c r="D215">
        <v>7.351</v>
      </c>
      <c r="E215">
        <v>14355</v>
      </c>
      <c r="F215">
        <v>25</v>
      </c>
      <c r="G215" t="s">
        <v>62</v>
      </c>
      <c r="H215" t="s">
        <v>686</v>
      </c>
      <c r="I215" t="s">
        <v>29</v>
      </c>
      <c r="J215" t="s">
        <v>30</v>
      </c>
      <c r="K215" t="s">
        <v>31</v>
      </c>
      <c r="L215" t="s">
        <v>31</v>
      </c>
      <c r="M215" t="s">
        <v>44</v>
      </c>
      <c r="N215">
        <v>17</v>
      </c>
      <c r="O215">
        <v>1</v>
      </c>
      <c r="P215">
        <v>0</v>
      </c>
      <c r="Q215">
        <v>1952.795538022038</v>
      </c>
      <c r="R215">
        <v>3.400897837028976</v>
      </c>
      <c r="S215">
        <v>574.2</v>
      </c>
      <c r="T215">
        <v>0</v>
      </c>
      <c r="U215">
        <v>0</v>
      </c>
      <c r="V215">
        <v>1</v>
      </c>
      <c r="W215">
        <v>9.571923252267498</v>
      </c>
      <c r="X215">
        <v>0</v>
      </c>
    </row>
    <row r="216" spans="1:24">
      <c r="A216" t="s">
        <v>687</v>
      </c>
      <c r="B216" t="s">
        <v>688</v>
      </c>
      <c r="C216" t="s">
        <v>26</v>
      </c>
      <c r="D216">
        <v>9.048999999999999</v>
      </c>
      <c r="E216">
        <v>1631</v>
      </c>
      <c r="F216">
        <v>21</v>
      </c>
      <c r="G216" t="s">
        <v>27</v>
      </c>
      <c r="H216" t="s">
        <v>689</v>
      </c>
      <c r="I216" t="s">
        <v>29</v>
      </c>
      <c r="J216" t="s">
        <v>30</v>
      </c>
      <c r="K216" t="s">
        <v>30</v>
      </c>
      <c r="L216" t="s">
        <v>38</v>
      </c>
      <c r="M216" t="s">
        <v>44</v>
      </c>
      <c r="N216">
        <v>17</v>
      </c>
      <c r="O216">
        <v>1</v>
      </c>
      <c r="P216">
        <v>0</v>
      </c>
      <c r="Q216">
        <v>180.2409105978561</v>
      </c>
      <c r="R216">
        <v>2.320698419714886</v>
      </c>
      <c r="S216">
        <v>77.66666666666667</v>
      </c>
      <c r="T216">
        <v>0</v>
      </c>
      <c r="U216">
        <v>0</v>
      </c>
      <c r="V216">
        <v>0</v>
      </c>
      <c r="W216">
        <v>7.397561535524052</v>
      </c>
      <c r="X216">
        <v>0</v>
      </c>
    </row>
    <row r="217" spans="1:24">
      <c r="A217" t="s">
        <v>690</v>
      </c>
      <c r="B217" t="s">
        <v>691</v>
      </c>
      <c r="C217" t="s">
        <v>35</v>
      </c>
      <c r="D217">
        <v>7.536</v>
      </c>
      <c r="E217">
        <v>2450</v>
      </c>
      <c r="F217">
        <v>18</v>
      </c>
      <c r="G217" t="s">
        <v>27</v>
      </c>
      <c r="H217" t="s">
        <v>692</v>
      </c>
      <c r="I217" t="s">
        <v>29</v>
      </c>
      <c r="J217" t="s">
        <v>30</v>
      </c>
      <c r="K217" t="s">
        <v>30</v>
      </c>
      <c r="L217" t="s">
        <v>31</v>
      </c>
      <c r="M217" t="s">
        <v>32</v>
      </c>
      <c r="N217">
        <v>17</v>
      </c>
      <c r="O217">
        <v>1</v>
      </c>
      <c r="P217">
        <v>0</v>
      </c>
      <c r="Q217">
        <v>325.1061571125265</v>
      </c>
      <c r="R217">
        <v>2.388535031847134</v>
      </c>
      <c r="S217">
        <v>136.1111111111111</v>
      </c>
      <c r="T217">
        <v>0</v>
      </c>
      <c r="U217">
        <v>0</v>
      </c>
      <c r="V217">
        <v>0</v>
      </c>
      <c r="W217">
        <v>7.804251383528112</v>
      </c>
      <c r="X217">
        <v>0</v>
      </c>
    </row>
    <row r="218" spans="1:24">
      <c r="A218" t="s">
        <v>693</v>
      </c>
      <c r="B218" t="s">
        <v>694</v>
      </c>
      <c r="C218" t="s">
        <v>35</v>
      </c>
      <c r="D218">
        <v>5.178</v>
      </c>
      <c r="E218">
        <v>2269</v>
      </c>
      <c r="F218">
        <v>15</v>
      </c>
      <c r="G218" t="s">
        <v>27</v>
      </c>
      <c r="H218" t="s">
        <v>695</v>
      </c>
      <c r="I218" t="s">
        <v>29</v>
      </c>
      <c r="J218" t="s">
        <v>30</v>
      </c>
      <c r="K218" t="s">
        <v>30</v>
      </c>
      <c r="L218" t="s">
        <v>31</v>
      </c>
      <c r="M218" t="s">
        <v>97</v>
      </c>
      <c r="N218">
        <v>18</v>
      </c>
      <c r="O218">
        <v>1</v>
      </c>
      <c r="P218">
        <v>0</v>
      </c>
      <c r="Q218">
        <v>438.2000772499034</v>
      </c>
      <c r="R218">
        <v>2.896871378910777</v>
      </c>
      <c r="S218">
        <v>151.2666666666667</v>
      </c>
      <c r="T218">
        <v>0</v>
      </c>
      <c r="U218">
        <v>0</v>
      </c>
      <c r="V218">
        <v>0</v>
      </c>
      <c r="W218">
        <v>7.727535110475448</v>
      </c>
      <c r="X218">
        <v>0</v>
      </c>
    </row>
    <row r="219" spans="1:24">
      <c r="A219" t="s">
        <v>696</v>
      </c>
      <c r="B219" t="s">
        <v>697</v>
      </c>
      <c r="C219" t="s">
        <v>26</v>
      </c>
      <c r="D219">
        <v>1.726</v>
      </c>
      <c r="E219">
        <v>1003</v>
      </c>
      <c r="F219">
        <v>17</v>
      </c>
      <c r="G219" t="s">
        <v>62</v>
      </c>
      <c r="H219" t="s">
        <v>698</v>
      </c>
      <c r="I219" t="s">
        <v>29</v>
      </c>
      <c r="J219" t="s">
        <v>30</v>
      </c>
      <c r="K219" t="s">
        <v>31</v>
      </c>
      <c r="L219" t="s">
        <v>30</v>
      </c>
      <c r="M219" t="s">
        <v>97</v>
      </c>
      <c r="N219">
        <v>18</v>
      </c>
      <c r="O219">
        <v>1</v>
      </c>
      <c r="P219">
        <v>0</v>
      </c>
      <c r="Q219">
        <v>581.1123986095017</v>
      </c>
      <c r="R219">
        <v>9.84936268829664</v>
      </c>
      <c r="S219">
        <v>59</v>
      </c>
      <c r="T219">
        <v>0</v>
      </c>
      <c r="U219">
        <v>0</v>
      </c>
      <c r="V219">
        <v>0</v>
      </c>
      <c r="W219">
        <v>6.911747300251674</v>
      </c>
      <c r="X219">
        <v>0</v>
      </c>
    </row>
    <row r="220" spans="1:24">
      <c r="A220" t="s">
        <v>699</v>
      </c>
      <c r="B220" t="s">
        <v>700</v>
      </c>
      <c r="C220" t="s">
        <v>26</v>
      </c>
      <c r="D220">
        <v>0.158</v>
      </c>
      <c r="E220">
        <v>1142</v>
      </c>
      <c r="F220">
        <v>1</v>
      </c>
      <c r="G220" t="s">
        <v>47</v>
      </c>
      <c r="H220" t="s">
        <v>701</v>
      </c>
      <c r="I220" t="s">
        <v>90</v>
      </c>
      <c r="J220" t="s">
        <v>31</v>
      </c>
      <c r="K220" t="s">
        <v>31</v>
      </c>
      <c r="L220" t="s">
        <v>31</v>
      </c>
      <c r="M220" t="s">
        <v>83</v>
      </c>
      <c r="N220">
        <v>18</v>
      </c>
      <c r="O220">
        <v>1</v>
      </c>
      <c r="P220">
        <v>0</v>
      </c>
      <c r="Q220">
        <v>7227.848101265823</v>
      </c>
      <c r="R220">
        <v>6.329113924050633</v>
      </c>
      <c r="S220">
        <v>1142</v>
      </c>
      <c r="T220">
        <v>0</v>
      </c>
      <c r="U220">
        <v>0</v>
      </c>
      <c r="V220">
        <v>0</v>
      </c>
      <c r="W220">
        <v>7.04141166379481</v>
      </c>
      <c r="X220">
        <v>1</v>
      </c>
    </row>
    <row r="221" spans="1:24">
      <c r="A221" t="s">
        <v>702</v>
      </c>
      <c r="B221" t="s">
        <v>703</v>
      </c>
      <c r="C221" t="s">
        <v>26</v>
      </c>
      <c r="D221">
        <v>1.443</v>
      </c>
      <c r="E221">
        <v>1026</v>
      </c>
      <c r="F221">
        <v>11</v>
      </c>
      <c r="G221" t="s">
        <v>36</v>
      </c>
      <c r="H221" t="s">
        <v>704</v>
      </c>
      <c r="I221" t="s">
        <v>29</v>
      </c>
      <c r="J221" t="s">
        <v>38</v>
      </c>
      <c r="K221" t="s">
        <v>38</v>
      </c>
      <c r="L221" t="s">
        <v>30</v>
      </c>
      <c r="M221" t="s">
        <v>39</v>
      </c>
      <c r="N221">
        <v>18</v>
      </c>
      <c r="O221">
        <v>1</v>
      </c>
      <c r="P221">
        <v>0</v>
      </c>
      <c r="Q221">
        <v>711.018711018711</v>
      </c>
      <c r="R221">
        <v>7.623007623007623</v>
      </c>
      <c r="S221">
        <v>93.27272727272728</v>
      </c>
      <c r="T221">
        <v>0</v>
      </c>
      <c r="U221">
        <v>0</v>
      </c>
      <c r="V221">
        <v>0</v>
      </c>
      <c r="W221">
        <v>6.934397209928558</v>
      </c>
      <c r="X221">
        <v>0</v>
      </c>
    </row>
    <row r="222" spans="1:24">
      <c r="A222" t="s">
        <v>705</v>
      </c>
      <c r="B222" t="s">
        <v>706</v>
      </c>
      <c r="C222" t="s">
        <v>130</v>
      </c>
      <c r="D222">
        <v>0.309</v>
      </c>
      <c r="E222">
        <v>1711</v>
      </c>
      <c r="F222">
        <v>14</v>
      </c>
      <c r="G222" t="s">
        <v>62</v>
      </c>
      <c r="H222" t="s">
        <v>707</v>
      </c>
      <c r="I222" t="s">
        <v>29</v>
      </c>
      <c r="J222" t="s">
        <v>30</v>
      </c>
      <c r="K222" t="s">
        <v>38</v>
      </c>
      <c r="L222" t="s">
        <v>31</v>
      </c>
      <c r="M222" t="s">
        <v>44</v>
      </c>
      <c r="N222">
        <v>18</v>
      </c>
      <c r="O222">
        <v>1</v>
      </c>
      <c r="P222">
        <v>0</v>
      </c>
      <c r="Q222">
        <v>5537.216828478964</v>
      </c>
      <c r="R222">
        <v>45.3074433656958</v>
      </c>
      <c r="S222">
        <v>122.2142857142857</v>
      </c>
      <c r="T222">
        <v>0</v>
      </c>
      <c r="U222">
        <v>0</v>
      </c>
      <c r="V222">
        <v>0</v>
      </c>
      <c r="W222">
        <v>7.445417556701687</v>
      </c>
      <c r="X222">
        <v>0</v>
      </c>
    </row>
    <row r="223" spans="1:24">
      <c r="A223" t="s">
        <v>708</v>
      </c>
      <c r="B223" t="s">
        <v>709</v>
      </c>
      <c r="C223" t="s">
        <v>26</v>
      </c>
      <c r="D223">
        <v>4.661</v>
      </c>
      <c r="E223">
        <v>1839</v>
      </c>
      <c r="F223">
        <v>21</v>
      </c>
      <c r="G223" t="s">
        <v>36</v>
      </c>
      <c r="H223" t="s">
        <v>710</v>
      </c>
      <c r="I223" t="s">
        <v>29</v>
      </c>
      <c r="J223" t="s">
        <v>38</v>
      </c>
      <c r="K223" t="s">
        <v>31</v>
      </c>
      <c r="L223" t="s">
        <v>31</v>
      </c>
      <c r="M223" t="s">
        <v>97</v>
      </c>
      <c r="N223">
        <v>18</v>
      </c>
      <c r="O223">
        <v>1</v>
      </c>
      <c r="P223">
        <v>0</v>
      </c>
      <c r="Q223">
        <v>394.5505256382751</v>
      </c>
      <c r="R223">
        <v>4.505470928985197</v>
      </c>
      <c r="S223">
        <v>87.57142857142857</v>
      </c>
      <c r="T223">
        <v>0</v>
      </c>
      <c r="U223">
        <v>0</v>
      </c>
      <c r="V223">
        <v>0</v>
      </c>
      <c r="W223">
        <v>7.517520850603031</v>
      </c>
      <c r="X223">
        <v>0</v>
      </c>
    </row>
    <row r="224" spans="1:24">
      <c r="A224" t="s">
        <v>711</v>
      </c>
      <c r="B224" t="s">
        <v>712</v>
      </c>
      <c r="C224" t="s">
        <v>26</v>
      </c>
      <c r="D224">
        <v>1.661</v>
      </c>
      <c r="E224">
        <v>921</v>
      </c>
      <c r="F224">
        <v>24</v>
      </c>
      <c r="G224" t="s">
        <v>27</v>
      </c>
      <c r="H224" t="s">
        <v>713</v>
      </c>
      <c r="I224" t="s">
        <v>29</v>
      </c>
      <c r="J224" t="s">
        <v>30</v>
      </c>
      <c r="K224" t="s">
        <v>30</v>
      </c>
      <c r="L224" t="s">
        <v>30</v>
      </c>
      <c r="M224" t="s">
        <v>44</v>
      </c>
      <c r="N224">
        <v>18</v>
      </c>
      <c r="O224">
        <v>1</v>
      </c>
      <c r="P224">
        <v>0</v>
      </c>
      <c r="Q224">
        <v>554.4852498494882</v>
      </c>
      <c r="R224">
        <v>14.44912703190849</v>
      </c>
      <c r="S224">
        <v>38.375</v>
      </c>
      <c r="T224">
        <v>0</v>
      </c>
      <c r="U224">
        <v>0</v>
      </c>
      <c r="V224">
        <v>0</v>
      </c>
      <c r="W224">
        <v>6.826545223556594</v>
      </c>
      <c r="X224">
        <v>0</v>
      </c>
    </row>
    <row r="225" spans="1:24">
      <c r="A225" t="s">
        <v>714</v>
      </c>
      <c r="B225" t="s">
        <v>715</v>
      </c>
      <c r="C225" t="s">
        <v>26</v>
      </c>
      <c r="D225">
        <v>5.307</v>
      </c>
      <c r="E225">
        <v>1856</v>
      </c>
      <c r="F225">
        <v>15</v>
      </c>
      <c r="G225" t="s">
        <v>36</v>
      </c>
      <c r="H225" t="s">
        <v>716</v>
      </c>
      <c r="I225" t="s">
        <v>29</v>
      </c>
      <c r="J225" t="s">
        <v>38</v>
      </c>
      <c r="K225" t="s">
        <v>30</v>
      </c>
      <c r="L225" t="s">
        <v>30</v>
      </c>
      <c r="M225" t="s">
        <v>44</v>
      </c>
      <c r="N225">
        <v>18</v>
      </c>
      <c r="O225">
        <v>1</v>
      </c>
      <c r="P225">
        <v>0</v>
      </c>
      <c r="Q225">
        <v>349.7267759562841</v>
      </c>
      <c r="R225">
        <v>2.826455624646693</v>
      </c>
      <c r="S225">
        <v>123.7333333333333</v>
      </c>
      <c r="T225">
        <v>0</v>
      </c>
      <c r="U225">
        <v>0</v>
      </c>
      <c r="V225">
        <v>0</v>
      </c>
      <c r="W225">
        <v>7.526717561352706</v>
      </c>
      <c r="X225">
        <v>0</v>
      </c>
    </row>
    <row r="226" spans="1:24">
      <c r="A226" t="s">
        <v>717</v>
      </c>
      <c r="B226" t="s">
        <v>718</v>
      </c>
      <c r="C226" t="s">
        <v>35</v>
      </c>
      <c r="D226">
        <v>1.275</v>
      </c>
      <c r="E226">
        <v>2835</v>
      </c>
      <c r="F226">
        <v>15</v>
      </c>
      <c r="G226" t="s">
        <v>27</v>
      </c>
      <c r="H226" t="s">
        <v>719</v>
      </c>
      <c r="I226" t="s">
        <v>29</v>
      </c>
      <c r="J226" t="s">
        <v>30</v>
      </c>
      <c r="K226" t="s">
        <v>31</v>
      </c>
      <c r="L226" t="s">
        <v>30</v>
      </c>
      <c r="M226" t="s">
        <v>44</v>
      </c>
      <c r="N226">
        <v>18</v>
      </c>
      <c r="O226">
        <v>1</v>
      </c>
      <c r="P226">
        <v>0</v>
      </c>
      <c r="Q226">
        <v>2223.529411764706</v>
      </c>
      <c r="R226">
        <v>11.76470588235294</v>
      </c>
      <c r="S226">
        <v>189</v>
      </c>
      <c r="T226">
        <v>0</v>
      </c>
      <c r="U226">
        <v>0</v>
      </c>
      <c r="V226">
        <v>0</v>
      </c>
      <c r="W226">
        <v>7.950149887652018</v>
      </c>
      <c r="X226">
        <v>0</v>
      </c>
    </row>
    <row r="227" spans="1:24">
      <c r="A227" t="s">
        <v>720</v>
      </c>
      <c r="B227" t="s">
        <v>721</v>
      </c>
      <c r="C227" t="s">
        <v>35</v>
      </c>
      <c r="D227">
        <v>1.956</v>
      </c>
      <c r="E227">
        <v>21038</v>
      </c>
      <c r="F227">
        <v>81</v>
      </c>
      <c r="G227" t="s">
        <v>27</v>
      </c>
      <c r="H227" t="s">
        <v>722</v>
      </c>
      <c r="I227" t="s">
        <v>49</v>
      </c>
      <c r="J227" t="s">
        <v>30</v>
      </c>
      <c r="K227" t="s">
        <v>30</v>
      </c>
      <c r="L227" t="s">
        <v>30</v>
      </c>
      <c r="M227" t="s">
        <v>44</v>
      </c>
      <c r="N227">
        <v>18</v>
      </c>
      <c r="O227">
        <v>1</v>
      </c>
      <c r="P227">
        <v>0</v>
      </c>
      <c r="Q227">
        <v>10755.62372188139</v>
      </c>
      <c r="R227">
        <v>41.41104294478528</v>
      </c>
      <c r="S227">
        <v>259.7283950617284</v>
      </c>
      <c r="T227">
        <v>0</v>
      </c>
      <c r="U227">
        <v>0</v>
      </c>
      <c r="V227">
        <v>1</v>
      </c>
      <c r="W227">
        <v>9.954133137205019</v>
      </c>
      <c r="X227">
        <v>1</v>
      </c>
    </row>
    <row r="228" spans="1:24">
      <c r="A228" t="s">
        <v>723</v>
      </c>
      <c r="B228" t="s">
        <v>724</v>
      </c>
      <c r="C228" t="s">
        <v>35</v>
      </c>
      <c r="D228">
        <v>4.67</v>
      </c>
      <c r="E228">
        <v>1028</v>
      </c>
      <c r="F228">
        <v>14</v>
      </c>
      <c r="G228" t="s">
        <v>27</v>
      </c>
      <c r="H228" t="s">
        <v>725</v>
      </c>
      <c r="I228" t="s">
        <v>29</v>
      </c>
      <c r="J228" t="s">
        <v>30</v>
      </c>
      <c r="K228" t="s">
        <v>30</v>
      </c>
      <c r="L228" t="s">
        <v>30</v>
      </c>
      <c r="M228" t="s">
        <v>97</v>
      </c>
      <c r="N228">
        <v>18</v>
      </c>
      <c r="O228">
        <v>1</v>
      </c>
      <c r="P228">
        <v>0</v>
      </c>
      <c r="Q228">
        <v>220.1284796573876</v>
      </c>
      <c r="R228">
        <v>2.997858672376874</v>
      </c>
      <c r="S228">
        <v>73.42857142857143</v>
      </c>
      <c r="T228">
        <v>0</v>
      </c>
      <c r="U228">
        <v>0</v>
      </c>
      <c r="V228">
        <v>0</v>
      </c>
      <c r="W228">
        <v>6.936342735834049</v>
      </c>
      <c r="X228">
        <v>0</v>
      </c>
    </row>
    <row r="229" spans="1:24">
      <c r="A229" t="s">
        <v>726</v>
      </c>
      <c r="B229" t="s">
        <v>727</v>
      </c>
      <c r="C229" t="s">
        <v>130</v>
      </c>
      <c r="D229">
        <v>4.473</v>
      </c>
      <c r="E229">
        <v>1256</v>
      </c>
      <c r="F229">
        <v>16</v>
      </c>
      <c r="G229" t="s">
        <v>47</v>
      </c>
      <c r="H229" t="s">
        <v>728</v>
      </c>
      <c r="I229" t="s">
        <v>29</v>
      </c>
      <c r="J229" t="s">
        <v>31</v>
      </c>
      <c r="K229" t="s">
        <v>30</v>
      </c>
      <c r="L229" t="s">
        <v>31</v>
      </c>
      <c r="M229" t="s">
        <v>83</v>
      </c>
      <c r="N229">
        <v>18</v>
      </c>
      <c r="O229">
        <v>1</v>
      </c>
      <c r="P229">
        <v>0</v>
      </c>
      <c r="Q229">
        <v>280.7958864296892</v>
      </c>
      <c r="R229">
        <v>3.577017661524704</v>
      </c>
      <c r="S229">
        <v>78.5</v>
      </c>
      <c r="T229">
        <v>0</v>
      </c>
      <c r="U229">
        <v>0</v>
      </c>
      <c r="V229">
        <v>0</v>
      </c>
      <c r="W229">
        <v>7.136483208590247</v>
      </c>
      <c r="X229">
        <v>0</v>
      </c>
    </row>
    <row r="230" spans="1:24">
      <c r="A230" t="s">
        <v>729</v>
      </c>
      <c r="B230" t="s">
        <v>730</v>
      </c>
      <c r="C230" t="s">
        <v>35</v>
      </c>
      <c r="D230">
        <v>6.021</v>
      </c>
      <c r="E230">
        <v>167</v>
      </c>
      <c r="F230">
        <v>12</v>
      </c>
      <c r="G230" t="s">
        <v>27</v>
      </c>
      <c r="H230" t="s">
        <v>731</v>
      </c>
      <c r="I230" t="s">
        <v>29</v>
      </c>
      <c r="J230" t="s">
        <v>30</v>
      </c>
      <c r="K230" t="s">
        <v>38</v>
      </c>
      <c r="L230" t="s">
        <v>31</v>
      </c>
      <c r="M230" t="s">
        <v>32</v>
      </c>
      <c r="N230">
        <v>19</v>
      </c>
      <c r="O230">
        <v>1</v>
      </c>
      <c r="P230">
        <v>0</v>
      </c>
      <c r="Q230">
        <v>27.73625643580801</v>
      </c>
      <c r="R230">
        <v>1.993024414549078</v>
      </c>
      <c r="S230">
        <v>13.91666666666667</v>
      </c>
      <c r="T230">
        <v>0</v>
      </c>
      <c r="U230">
        <v>0</v>
      </c>
      <c r="V230">
        <v>0</v>
      </c>
      <c r="W230">
        <v>5.123963979403259</v>
      </c>
      <c r="X230">
        <v>0</v>
      </c>
    </row>
    <row r="231" spans="1:24">
      <c r="A231" t="s">
        <v>732</v>
      </c>
      <c r="B231" t="s">
        <v>733</v>
      </c>
      <c r="C231" t="s">
        <v>130</v>
      </c>
      <c r="D231">
        <v>5.611</v>
      </c>
      <c r="E231">
        <v>69</v>
      </c>
      <c r="F231">
        <v>15</v>
      </c>
      <c r="G231" t="s">
        <v>36</v>
      </c>
      <c r="H231" t="s">
        <v>734</v>
      </c>
      <c r="I231" t="s">
        <v>29</v>
      </c>
      <c r="J231" t="s">
        <v>38</v>
      </c>
      <c r="K231" t="s">
        <v>30</v>
      </c>
      <c r="L231" t="s">
        <v>31</v>
      </c>
      <c r="M231" t="s">
        <v>97</v>
      </c>
      <c r="N231">
        <v>19</v>
      </c>
      <c r="O231">
        <v>1</v>
      </c>
      <c r="P231">
        <v>0</v>
      </c>
      <c r="Q231">
        <v>12.29727321333096</v>
      </c>
      <c r="R231">
        <v>2.6733202637676</v>
      </c>
      <c r="S231">
        <v>4.6</v>
      </c>
      <c r="T231">
        <v>0</v>
      </c>
      <c r="U231">
        <v>0</v>
      </c>
      <c r="V231">
        <v>0</v>
      </c>
      <c r="W231">
        <v>4.248495242049359</v>
      </c>
      <c r="X231">
        <v>0</v>
      </c>
    </row>
    <row r="232" spans="1:24">
      <c r="A232" t="s">
        <v>735</v>
      </c>
      <c r="B232" t="s">
        <v>736</v>
      </c>
      <c r="C232" t="s">
        <v>26</v>
      </c>
      <c r="D232">
        <v>3.067</v>
      </c>
      <c r="E232">
        <v>3404</v>
      </c>
      <c r="F232">
        <v>19</v>
      </c>
      <c r="G232" t="s">
        <v>27</v>
      </c>
      <c r="H232" t="s">
        <v>737</v>
      </c>
      <c r="I232" t="s">
        <v>29</v>
      </c>
      <c r="J232" t="s">
        <v>30</v>
      </c>
      <c r="K232" t="s">
        <v>38</v>
      </c>
      <c r="L232" t="s">
        <v>31</v>
      </c>
      <c r="M232" t="s">
        <v>97</v>
      </c>
      <c r="N232">
        <v>19</v>
      </c>
      <c r="O232">
        <v>1</v>
      </c>
      <c r="P232">
        <v>0</v>
      </c>
      <c r="Q232">
        <v>1109.879360939028</v>
      </c>
      <c r="R232">
        <v>6.19497880665145</v>
      </c>
      <c r="S232">
        <v>179.1578947368421</v>
      </c>
      <c r="T232">
        <v>0</v>
      </c>
      <c r="U232">
        <v>0</v>
      </c>
      <c r="V232">
        <v>0</v>
      </c>
      <c r="W232">
        <v>8.133000218583613</v>
      </c>
      <c r="X232">
        <v>0</v>
      </c>
    </row>
    <row r="233" spans="1:24">
      <c r="A233" t="s">
        <v>738</v>
      </c>
      <c r="B233" t="s">
        <v>739</v>
      </c>
      <c r="C233" t="s">
        <v>35</v>
      </c>
      <c r="D233">
        <v>9.430999999999999</v>
      </c>
      <c r="E233">
        <v>10263</v>
      </c>
      <c r="F233">
        <v>27</v>
      </c>
      <c r="G233" t="s">
        <v>47</v>
      </c>
      <c r="H233" t="s">
        <v>740</v>
      </c>
      <c r="I233" t="s">
        <v>29</v>
      </c>
      <c r="J233" t="s">
        <v>31</v>
      </c>
      <c r="K233" t="s">
        <v>30</v>
      </c>
      <c r="L233" t="s">
        <v>31</v>
      </c>
      <c r="M233" t="s">
        <v>97</v>
      </c>
      <c r="N233">
        <v>19</v>
      </c>
      <c r="O233">
        <v>1</v>
      </c>
      <c r="P233">
        <v>0</v>
      </c>
      <c r="Q233">
        <v>1088.21970098611</v>
      </c>
      <c r="R233">
        <v>2.862898950270385</v>
      </c>
      <c r="S233">
        <v>380.1111111111111</v>
      </c>
      <c r="T233">
        <v>0</v>
      </c>
      <c r="U233">
        <v>0</v>
      </c>
      <c r="V233">
        <v>1</v>
      </c>
      <c r="W233">
        <v>9.236397906295473</v>
      </c>
      <c r="X233">
        <v>0</v>
      </c>
    </row>
    <row r="234" spans="1:24">
      <c r="A234" t="s">
        <v>741</v>
      </c>
      <c r="B234" t="s">
        <v>742</v>
      </c>
      <c r="C234" t="s">
        <v>26</v>
      </c>
      <c r="D234">
        <v>1.259</v>
      </c>
      <c r="E234">
        <v>3493</v>
      </c>
      <c r="F234">
        <v>19</v>
      </c>
      <c r="G234" t="s">
        <v>47</v>
      </c>
      <c r="H234" t="s">
        <v>743</v>
      </c>
      <c r="I234" t="s">
        <v>29</v>
      </c>
      <c r="J234" t="s">
        <v>31</v>
      </c>
      <c r="K234" t="s">
        <v>30</v>
      </c>
      <c r="L234" t="s">
        <v>30</v>
      </c>
      <c r="M234" t="s">
        <v>97</v>
      </c>
      <c r="N234">
        <v>19</v>
      </c>
      <c r="O234">
        <v>1</v>
      </c>
      <c r="P234">
        <v>0</v>
      </c>
      <c r="Q234">
        <v>2774.424146147736</v>
      </c>
      <c r="R234">
        <v>15.09134233518666</v>
      </c>
      <c r="S234">
        <v>183.8421052631579</v>
      </c>
      <c r="T234">
        <v>0</v>
      </c>
      <c r="U234">
        <v>0</v>
      </c>
      <c r="V234">
        <v>0</v>
      </c>
      <c r="W234">
        <v>8.158802490694002</v>
      </c>
      <c r="X234">
        <v>0</v>
      </c>
    </row>
    <row r="235" spans="1:24">
      <c r="A235" t="s">
        <v>744</v>
      </c>
      <c r="B235" t="s">
        <v>745</v>
      </c>
      <c r="C235" t="s">
        <v>26</v>
      </c>
      <c r="D235">
        <v>5.229</v>
      </c>
      <c r="E235">
        <v>10469</v>
      </c>
      <c r="F235">
        <v>20</v>
      </c>
      <c r="G235" t="s">
        <v>47</v>
      </c>
      <c r="H235" t="s">
        <v>746</v>
      </c>
      <c r="I235" t="s">
        <v>29</v>
      </c>
      <c r="J235" t="s">
        <v>31</v>
      </c>
      <c r="K235" t="s">
        <v>31</v>
      </c>
      <c r="L235" t="s">
        <v>31</v>
      </c>
      <c r="M235" t="s">
        <v>76</v>
      </c>
      <c r="N235">
        <v>19</v>
      </c>
      <c r="O235">
        <v>1</v>
      </c>
      <c r="P235">
        <v>0</v>
      </c>
      <c r="Q235">
        <v>2002.103652706062</v>
      </c>
      <c r="R235">
        <v>3.824823101931536</v>
      </c>
      <c r="S235">
        <v>523.45</v>
      </c>
      <c r="T235">
        <v>0</v>
      </c>
      <c r="U235">
        <v>0</v>
      </c>
      <c r="V235">
        <v>1</v>
      </c>
      <c r="W235">
        <v>9.256269303864585</v>
      </c>
      <c r="X235">
        <v>0</v>
      </c>
    </row>
    <row r="236" spans="1:24">
      <c r="A236" t="s">
        <v>747</v>
      </c>
      <c r="B236" t="s">
        <v>748</v>
      </c>
      <c r="C236" t="s">
        <v>52</v>
      </c>
      <c r="D236">
        <v>4.001</v>
      </c>
      <c r="E236">
        <v>1211</v>
      </c>
      <c r="F236">
        <v>15</v>
      </c>
      <c r="G236" t="s">
        <v>27</v>
      </c>
      <c r="H236" t="s">
        <v>749</v>
      </c>
      <c r="I236" t="s">
        <v>29</v>
      </c>
      <c r="J236" t="s">
        <v>30</v>
      </c>
      <c r="K236" t="s">
        <v>30</v>
      </c>
      <c r="L236" t="s">
        <v>31</v>
      </c>
      <c r="M236" t="s">
        <v>32</v>
      </c>
      <c r="N236">
        <v>19</v>
      </c>
      <c r="O236">
        <v>1</v>
      </c>
      <c r="P236">
        <v>0</v>
      </c>
      <c r="Q236">
        <v>302.6743314171457</v>
      </c>
      <c r="R236">
        <v>3.749062734316421</v>
      </c>
      <c r="S236">
        <v>80.73333333333333</v>
      </c>
      <c r="T236">
        <v>0</v>
      </c>
      <c r="U236">
        <v>0</v>
      </c>
      <c r="V236">
        <v>0</v>
      </c>
      <c r="W236">
        <v>7.10002716662926</v>
      </c>
      <c r="X236">
        <v>0</v>
      </c>
    </row>
    <row r="237" spans="1:24">
      <c r="A237" t="s">
        <v>750</v>
      </c>
      <c r="B237" t="s">
        <v>751</v>
      </c>
      <c r="C237" t="s">
        <v>26</v>
      </c>
      <c r="D237">
        <v>2.746</v>
      </c>
      <c r="E237">
        <v>829</v>
      </c>
      <c r="F237">
        <v>21</v>
      </c>
      <c r="G237" t="s">
        <v>27</v>
      </c>
      <c r="H237" t="s">
        <v>752</v>
      </c>
      <c r="I237" t="s">
        <v>29</v>
      </c>
      <c r="J237" t="s">
        <v>30</v>
      </c>
      <c r="K237" t="s">
        <v>31</v>
      </c>
      <c r="L237" t="s">
        <v>31</v>
      </c>
      <c r="M237" t="s">
        <v>83</v>
      </c>
      <c r="N237">
        <v>19</v>
      </c>
      <c r="O237">
        <v>1</v>
      </c>
      <c r="P237">
        <v>0</v>
      </c>
      <c r="Q237">
        <v>301.8936635105608</v>
      </c>
      <c r="R237">
        <v>7.64748725418791</v>
      </c>
      <c r="S237">
        <v>39.47619047619048</v>
      </c>
      <c r="T237">
        <v>0</v>
      </c>
      <c r="U237">
        <v>0</v>
      </c>
      <c r="V237">
        <v>0</v>
      </c>
      <c r="W237">
        <v>6.721425700790643</v>
      </c>
      <c r="X237">
        <v>0</v>
      </c>
    </row>
    <row r="238" spans="1:24">
      <c r="A238" t="s">
        <v>753</v>
      </c>
      <c r="B238" t="s">
        <v>754</v>
      </c>
      <c r="C238" t="s">
        <v>35</v>
      </c>
      <c r="D238">
        <v>1.62</v>
      </c>
      <c r="E238">
        <v>10470</v>
      </c>
      <c r="F238">
        <v>10</v>
      </c>
      <c r="G238" t="s">
        <v>47</v>
      </c>
      <c r="H238" t="s">
        <v>755</v>
      </c>
      <c r="I238" t="s">
        <v>29</v>
      </c>
      <c r="J238" t="s">
        <v>31</v>
      </c>
      <c r="K238" t="s">
        <v>30</v>
      </c>
      <c r="L238" t="s">
        <v>31</v>
      </c>
      <c r="M238" t="s">
        <v>97</v>
      </c>
      <c r="N238">
        <v>19</v>
      </c>
      <c r="O238">
        <v>1</v>
      </c>
      <c r="P238">
        <v>0</v>
      </c>
      <c r="Q238">
        <v>6462.962962962963</v>
      </c>
      <c r="R238">
        <v>6.172839506172839</v>
      </c>
      <c r="S238">
        <v>1047</v>
      </c>
      <c r="T238">
        <v>0</v>
      </c>
      <c r="U238">
        <v>0</v>
      </c>
      <c r="V238">
        <v>1</v>
      </c>
      <c r="W238">
        <v>9.256364810287462</v>
      </c>
      <c r="X238">
        <v>0</v>
      </c>
    </row>
    <row r="239" spans="1:24">
      <c r="A239" t="s">
        <v>756</v>
      </c>
      <c r="B239" t="s">
        <v>757</v>
      </c>
      <c r="C239" t="s">
        <v>26</v>
      </c>
      <c r="D239">
        <v>1.414</v>
      </c>
      <c r="E239">
        <v>6710</v>
      </c>
      <c r="F239">
        <v>18</v>
      </c>
      <c r="G239" t="s">
        <v>27</v>
      </c>
      <c r="H239" t="s">
        <v>758</v>
      </c>
      <c r="I239" t="s">
        <v>29</v>
      </c>
      <c r="J239" t="s">
        <v>30</v>
      </c>
      <c r="K239" t="s">
        <v>30</v>
      </c>
      <c r="L239" t="s">
        <v>31</v>
      </c>
      <c r="M239" t="s">
        <v>83</v>
      </c>
      <c r="N239">
        <v>19</v>
      </c>
      <c r="O239">
        <v>1</v>
      </c>
      <c r="P239">
        <v>0</v>
      </c>
      <c r="Q239">
        <v>4745.403111739745</v>
      </c>
      <c r="R239">
        <v>12.72984441301273</v>
      </c>
      <c r="S239">
        <v>372.7777777777778</v>
      </c>
      <c r="T239">
        <v>0</v>
      </c>
      <c r="U239">
        <v>0</v>
      </c>
      <c r="V239">
        <v>0</v>
      </c>
      <c r="W239">
        <v>8.811503250158239</v>
      </c>
      <c r="X239">
        <v>0</v>
      </c>
    </row>
    <row r="240" spans="1:24">
      <c r="A240" t="s">
        <v>759</v>
      </c>
      <c r="B240" t="s">
        <v>760</v>
      </c>
      <c r="C240" t="s">
        <v>26</v>
      </c>
      <c r="D240">
        <v>5.054</v>
      </c>
      <c r="E240">
        <v>1869</v>
      </c>
      <c r="F240">
        <v>23</v>
      </c>
      <c r="G240" t="s">
        <v>47</v>
      </c>
      <c r="H240" t="s">
        <v>761</v>
      </c>
      <c r="I240" t="s">
        <v>29</v>
      </c>
      <c r="J240" t="s">
        <v>31</v>
      </c>
      <c r="K240" t="s">
        <v>30</v>
      </c>
      <c r="L240" t="s">
        <v>31</v>
      </c>
      <c r="M240" t="s">
        <v>32</v>
      </c>
      <c r="N240">
        <v>19</v>
      </c>
      <c r="O240">
        <v>1</v>
      </c>
      <c r="P240">
        <v>0</v>
      </c>
      <c r="Q240">
        <v>369.8060941828255</v>
      </c>
      <c r="R240">
        <v>4.550850811238623</v>
      </c>
      <c r="S240">
        <v>81.26086956521739</v>
      </c>
      <c r="T240">
        <v>0</v>
      </c>
      <c r="U240">
        <v>0</v>
      </c>
      <c r="V240">
        <v>0</v>
      </c>
      <c r="W240">
        <v>7.533693709848633</v>
      </c>
      <c r="X240">
        <v>0</v>
      </c>
    </row>
    <row r="241" spans="1:24">
      <c r="A241" t="s">
        <v>762</v>
      </c>
      <c r="B241" t="s">
        <v>763</v>
      </c>
      <c r="C241" t="s">
        <v>26</v>
      </c>
      <c r="D241">
        <v>2.378</v>
      </c>
      <c r="E241">
        <v>679</v>
      </c>
      <c r="F241">
        <v>23</v>
      </c>
      <c r="G241" t="s">
        <v>47</v>
      </c>
      <c r="H241" t="s">
        <v>764</v>
      </c>
      <c r="I241" t="s">
        <v>29</v>
      </c>
      <c r="J241" t="s">
        <v>31</v>
      </c>
      <c r="K241" t="s">
        <v>30</v>
      </c>
      <c r="L241" t="s">
        <v>30</v>
      </c>
      <c r="M241" t="s">
        <v>44</v>
      </c>
      <c r="N241">
        <v>19</v>
      </c>
      <c r="O241">
        <v>1</v>
      </c>
      <c r="P241">
        <v>0</v>
      </c>
      <c r="Q241">
        <v>285.5340622371741</v>
      </c>
      <c r="R241">
        <v>9.671993271656854</v>
      </c>
      <c r="S241">
        <v>29.52173913043478</v>
      </c>
      <c r="T241">
        <v>0</v>
      </c>
      <c r="U241">
        <v>0</v>
      </c>
      <c r="V241">
        <v>0</v>
      </c>
      <c r="W241">
        <v>6.522092798170152</v>
      </c>
      <c r="X241">
        <v>0</v>
      </c>
    </row>
    <row r="242" spans="1:24">
      <c r="A242" t="s">
        <v>765</v>
      </c>
      <c r="B242" t="s">
        <v>766</v>
      </c>
      <c r="C242" t="s">
        <v>26</v>
      </c>
      <c r="D242">
        <v>5.735</v>
      </c>
      <c r="E242">
        <v>844</v>
      </c>
      <c r="F242">
        <v>12</v>
      </c>
      <c r="G242" t="s">
        <v>47</v>
      </c>
      <c r="H242" t="s">
        <v>767</v>
      </c>
      <c r="I242" t="s">
        <v>29</v>
      </c>
      <c r="J242" t="s">
        <v>31</v>
      </c>
      <c r="K242" t="s">
        <v>30</v>
      </c>
      <c r="L242" t="s">
        <v>30</v>
      </c>
      <c r="M242" t="s">
        <v>44</v>
      </c>
      <c r="N242">
        <v>20</v>
      </c>
      <c r="O242">
        <v>1</v>
      </c>
      <c r="P242">
        <v>0</v>
      </c>
      <c r="Q242">
        <v>147.1665213600697</v>
      </c>
      <c r="R242">
        <v>2.092414995640802</v>
      </c>
      <c r="S242">
        <v>70.33333333333333</v>
      </c>
      <c r="T242">
        <v>0</v>
      </c>
      <c r="U242">
        <v>0</v>
      </c>
      <c r="V242">
        <v>0</v>
      </c>
      <c r="W242">
        <v>6.739336627357174</v>
      </c>
      <c r="X242">
        <v>0</v>
      </c>
    </row>
    <row r="243" spans="1:24">
      <c r="A243" t="s">
        <v>768</v>
      </c>
      <c r="B243" t="s">
        <v>769</v>
      </c>
      <c r="C243" t="s">
        <v>35</v>
      </c>
      <c r="D243">
        <v>1.534</v>
      </c>
      <c r="E243">
        <v>13302</v>
      </c>
      <c r="F243">
        <v>26</v>
      </c>
      <c r="G243" t="s">
        <v>27</v>
      </c>
      <c r="H243" t="s">
        <v>770</v>
      </c>
      <c r="I243" t="s">
        <v>29</v>
      </c>
      <c r="J243" t="s">
        <v>30</v>
      </c>
      <c r="K243" t="s">
        <v>30</v>
      </c>
      <c r="L243" t="s">
        <v>30</v>
      </c>
      <c r="M243" t="s">
        <v>97</v>
      </c>
      <c r="N243">
        <v>20</v>
      </c>
      <c r="O243">
        <v>1</v>
      </c>
      <c r="P243">
        <v>0</v>
      </c>
      <c r="Q243">
        <v>8671.447196870926</v>
      </c>
      <c r="R243">
        <v>16.94915254237288</v>
      </c>
      <c r="S243">
        <v>511.6153846153846</v>
      </c>
      <c r="T243">
        <v>0</v>
      </c>
      <c r="U243">
        <v>0</v>
      </c>
      <c r="V243">
        <v>1</v>
      </c>
      <c r="W243">
        <v>9.495744852683906</v>
      </c>
      <c r="X243">
        <v>0</v>
      </c>
    </row>
    <row r="244" spans="1:24">
      <c r="A244" t="s">
        <v>771</v>
      </c>
      <c r="B244" t="s">
        <v>772</v>
      </c>
      <c r="C244" t="s">
        <v>35</v>
      </c>
      <c r="D244">
        <v>0.109</v>
      </c>
      <c r="E244">
        <v>1957</v>
      </c>
      <c r="F244">
        <v>1</v>
      </c>
      <c r="G244" t="s">
        <v>36</v>
      </c>
      <c r="H244" t="s">
        <v>773</v>
      </c>
      <c r="I244" t="s">
        <v>90</v>
      </c>
      <c r="J244" t="s">
        <v>38</v>
      </c>
      <c r="K244" t="s">
        <v>30</v>
      </c>
      <c r="L244" t="s">
        <v>31</v>
      </c>
      <c r="M244" t="s">
        <v>44</v>
      </c>
      <c r="N244">
        <v>20</v>
      </c>
      <c r="O244">
        <v>1</v>
      </c>
      <c r="P244">
        <v>0</v>
      </c>
      <c r="Q244">
        <v>17954.12844036697</v>
      </c>
      <c r="R244">
        <v>9.174311926605505</v>
      </c>
      <c r="S244">
        <v>1957</v>
      </c>
      <c r="T244">
        <v>0</v>
      </c>
      <c r="U244">
        <v>0</v>
      </c>
      <c r="V244">
        <v>0</v>
      </c>
      <c r="W244">
        <v>7.579678823090456</v>
      </c>
      <c r="X244">
        <v>1</v>
      </c>
    </row>
    <row r="245" spans="1:24">
      <c r="A245" t="s">
        <v>774</v>
      </c>
      <c r="B245" t="s">
        <v>775</v>
      </c>
      <c r="C245" t="s">
        <v>26</v>
      </c>
      <c r="D245">
        <v>1.173</v>
      </c>
      <c r="E245">
        <v>3024</v>
      </c>
      <c r="F245">
        <v>16</v>
      </c>
      <c r="G245" t="s">
        <v>27</v>
      </c>
      <c r="H245" t="s">
        <v>776</v>
      </c>
      <c r="I245" t="s">
        <v>43</v>
      </c>
      <c r="J245" t="s">
        <v>30</v>
      </c>
      <c r="K245" t="s">
        <v>30</v>
      </c>
      <c r="L245" t="s">
        <v>30</v>
      </c>
      <c r="M245" t="s">
        <v>97</v>
      </c>
      <c r="N245">
        <v>20</v>
      </c>
      <c r="O245">
        <v>1</v>
      </c>
      <c r="P245">
        <v>0</v>
      </c>
      <c r="Q245">
        <v>2578.005115089514</v>
      </c>
      <c r="R245">
        <v>13.64023870417732</v>
      </c>
      <c r="S245">
        <v>189</v>
      </c>
      <c r="T245">
        <v>0</v>
      </c>
      <c r="U245">
        <v>0</v>
      </c>
      <c r="V245">
        <v>0</v>
      </c>
      <c r="W245">
        <v>8.014666370464942</v>
      </c>
      <c r="X245">
        <v>1</v>
      </c>
    </row>
    <row r="246" spans="1:24">
      <c r="A246" t="s">
        <v>777</v>
      </c>
      <c r="B246" t="s">
        <v>778</v>
      </c>
      <c r="C246" t="s">
        <v>35</v>
      </c>
      <c r="D246">
        <v>4.092</v>
      </c>
      <c r="E246">
        <v>2408</v>
      </c>
      <c r="F246">
        <v>15</v>
      </c>
      <c r="G246" t="s">
        <v>47</v>
      </c>
      <c r="H246" t="s">
        <v>779</v>
      </c>
      <c r="I246" t="s">
        <v>29</v>
      </c>
      <c r="J246" t="s">
        <v>31</v>
      </c>
      <c r="K246" t="s">
        <v>30</v>
      </c>
      <c r="L246" t="s">
        <v>31</v>
      </c>
      <c r="M246" t="s">
        <v>97</v>
      </c>
      <c r="N246">
        <v>20</v>
      </c>
      <c r="O246">
        <v>1</v>
      </c>
      <c r="P246">
        <v>0</v>
      </c>
      <c r="Q246">
        <v>588.4652981427175</v>
      </c>
      <c r="R246">
        <v>3.665689149560118</v>
      </c>
      <c r="S246">
        <v>160.5333333333333</v>
      </c>
      <c r="T246">
        <v>0</v>
      </c>
      <c r="U246">
        <v>0</v>
      </c>
      <c r="V246">
        <v>0</v>
      </c>
      <c r="W246">
        <v>7.786967002614872</v>
      </c>
      <c r="X246">
        <v>0</v>
      </c>
    </row>
    <row r="247" spans="1:24">
      <c r="A247" t="s">
        <v>780</v>
      </c>
      <c r="B247" t="s">
        <v>781</v>
      </c>
      <c r="C247" t="s">
        <v>35</v>
      </c>
      <c r="D247">
        <v>6.016</v>
      </c>
      <c r="E247">
        <v>891</v>
      </c>
      <c r="F247">
        <v>11</v>
      </c>
      <c r="G247" t="s">
        <v>36</v>
      </c>
      <c r="H247" t="s">
        <v>782</v>
      </c>
      <c r="I247" t="s">
        <v>29</v>
      </c>
      <c r="J247" t="s">
        <v>38</v>
      </c>
      <c r="K247" t="s">
        <v>31</v>
      </c>
      <c r="L247" t="s">
        <v>31</v>
      </c>
      <c r="M247" t="s">
        <v>76</v>
      </c>
      <c r="N247">
        <v>20</v>
      </c>
      <c r="O247">
        <v>1</v>
      </c>
      <c r="P247">
        <v>0</v>
      </c>
      <c r="Q247">
        <v>148.1050531914894</v>
      </c>
      <c r="R247">
        <v>1.82845744680851</v>
      </c>
      <c r="S247">
        <v>81</v>
      </c>
      <c r="T247">
        <v>0</v>
      </c>
      <c r="U247">
        <v>0</v>
      </c>
      <c r="V247">
        <v>0</v>
      </c>
      <c r="W247">
        <v>6.79346613258001</v>
      </c>
      <c r="X247">
        <v>0</v>
      </c>
    </row>
    <row r="248" spans="1:24">
      <c r="A248" t="s">
        <v>783</v>
      </c>
      <c r="B248" t="s">
        <v>784</v>
      </c>
      <c r="C248" t="s">
        <v>35</v>
      </c>
      <c r="D248">
        <v>3.067</v>
      </c>
      <c r="E248">
        <v>1108</v>
      </c>
      <c r="F248">
        <v>8</v>
      </c>
      <c r="G248" t="s">
        <v>62</v>
      </c>
      <c r="H248" t="s">
        <v>785</v>
      </c>
      <c r="I248" t="s">
        <v>29</v>
      </c>
      <c r="J248" t="s">
        <v>30</v>
      </c>
      <c r="K248" t="s">
        <v>30</v>
      </c>
      <c r="L248" t="s">
        <v>31</v>
      </c>
      <c r="M248" t="s">
        <v>97</v>
      </c>
      <c r="N248">
        <v>20</v>
      </c>
      <c r="O248">
        <v>1</v>
      </c>
      <c r="P248">
        <v>0</v>
      </c>
      <c r="Q248">
        <v>361.2650798826214</v>
      </c>
      <c r="R248">
        <v>2.6084121291164</v>
      </c>
      <c r="S248">
        <v>138.5</v>
      </c>
      <c r="T248">
        <v>0</v>
      </c>
      <c r="U248">
        <v>0</v>
      </c>
      <c r="V248">
        <v>0</v>
      </c>
      <c r="W248">
        <v>7.011213987350367</v>
      </c>
      <c r="X248">
        <v>0</v>
      </c>
    </row>
    <row r="249" spans="1:24">
      <c r="A249" t="s">
        <v>786</v>
      </c>
      <c r="B249" t="s">
        <v>787</v>
      </c>
      <c r="C249" t="s">
        <v>35</v>
      </c>
      <c r="D249">
        <v>6.934</v>
      </c>
      <c r="E249">
        <v>3972</v>
      </c>
      <c r="F249">
        <v>25</v>
      </c>
      <c r="G249" t="s">
        <v>47</v>
      </c>
      <c r="H249" t="s">
        <v>788</v>
      </c>
      <c r="I249" t="s">
        <v>29</v>
      </c>
      <c r="J249" t="s">
        <v>31</v>
      </c>
      <c r="K249" t="s">
        <v>30</v>
      </c>
      <c r="L249" t="s">
        <v>31</v>
      </c>
      <c r="M249" t="s">
        <v>97</v>
      </c>
      <c r="N249">
        <v>20</v>
      </c>
      <c r="O249">
        <v>1</v>
      </c>
      <c r="P249">
        <v>0</v>
      </c>
      <c r="Q249">
        <v>572.8295356215748</v>
      </c>
      <c r="R249">
        <v>3.605422555523507</v>
      </c>
      <c r="S249">
        <v>158.88</v>
      </c>
      <c r="T249">
        <v>0</v>
      </c>
      <c r="U249">
        <v>0</v>
      </c>
      <c r="V249">
        <v>0</v>
      </c>
      <c r="W249">
        <v>8.287276755814599</v>
      </c>
      <c r="X249">
        <v>0</v>
      </c>
    </row>
    <row r="250" spans="1:24">
      <c r="A250" t="s">
        <v>789</v>
      </c>
      <c r="B250" t="s">
        <v>790</v>
      </c>
      <c r="C250" t="s">
        <v>26</v>
      </c>
      <c r="D250">
        <v>3.355</v>
      </c>
      <c r="E250">
        <v>936</v>
      </c>
      <c r="F250">
        <v>12</v>
      </c>
      <c r="G250" t="s">
        <v>47</v>
      </c>
      <c r="H250" t="s">
        <v>791</v>
      </c>
      <c r="I250" t="s">
        <v>29</v>
      </c>
      <c r="J250" t="s">
        <v>31</v>
      </c>
      <c r="K250" t="s">
        <v>30</v>
      </c>
      <c r="L250" t="s">
        <v>31</v>
      </c>
      <c r="M250" t="s">
        <v>44</v>
      </c>
      <c r="N250">
        <v>20</v>
      </c>
      <c r="O250">
        <v>1</v>
      </c>
      <c r="P250">
        <v>0</v>
      </c>
      <c r="Q250">
        <v>278.9865871833085</v>
      </c>
      <c r="R250">
        <v>3.576751117734724</v>
      </c>
      <c r="S250">
        <v>78</v>
      </c>
      <c r="T250">
        <v>0</v>
      </c>
      <c r="U250">
        <v>0</v>
      </c>
      <c r="V250">
        <v>0</v>
      </c>
      <c r="W250">
        <v>6.842683282238422</v>
      </c>
      <c r="X250">
        <v>0</v>
      </c>
    </row>
    <row r="251" spans="1:24">
      <c r="A251" t="s">
        <v>792</v>
      </c>
      <c r="B251" t="s">
        <v>793</v>
      </c>
      <c r="C251" t="s">
        <v>35</v>
      </c>
      <c r="D251">
        <v>3.378</v>
      </c>
      <c r="E251">
        <v>20342</v>
      </c>
      <c r="F251">
        <v>18</v>
      </c>
      <c r="G251" t="s">
        <v>62</v>
      </c>
      <c r="H251" t="s">
        <v>794</v>
      </c>
      <c r="I251" t="s">
        <v>29</v>
      </c>
      <c r="J251" t="s">
        <v>30</v>
      </c>
      <c r="K251" t="s">
        <v>30</v>
      </c>
      <c r="L251" t="s">
        <v>30</v>
      </c>
      <c r="M251" t="s">
        <v>44</v>
      </c>
      <c r="N251">
        <v>20</v>
      </c>
      <c r="O251">
        <v>1</v>
      </c>
      <c r="P251">
        <v>0</v>
      </c>
      <c r="Q251">
        <v>6021.906453522794</v>
      </c>
      <c r="R251">
        <v>5.328596802841918</v>
      </c>
      <c r="S251">
        <v>1130.111111111111</v>
      </c>
      <c r="T251">
        <v>0</v>
      </c>
      <c r="U251">
        <v>0</v>
      </c>
      <c r="V251">
        <v>1</v>
      </c>
      <c r="W251">
        <v>9.920492151351953</v>
      </c>
      <c r="X251">
        <v>0</v>
      </c>
    </row>
    <row r="252" spans="1:24">
      <c r="A252" t="s">
        <v>795</v>
      </c>
      <c r="B252" t="s">
        <v>796</v>
      </c>
      <c r="C252" t="s">
        <v>35</v>
      </c>
      <c r="D252">
        <v>1.495</v>
      </c>
      <c r="E252">
        <v>4647</v>
      </c>
      <c r="F252">
        <v>20</v>
      </c>
      <c r="G252" t="s">
        <v>47</v>
      </c>
      <c r="H252" t="s">
        <v>797</v>
      </c>
      <c r="I252" t="s">
        <v>43</v>
      </c>
      <c r="J252" t="s">
        <v>31</v>
      </c>
      <c r="K252" t="s">
        <v>38</v>
      </c>
      <c r="L252" t="s">
        <v>31</v>
      </c>
      <c r="M252" t="s">
        <v>44</v>
      </c>
      <c r="N252">
        <v>20</v>
      </c>
      <c r="O252">
        <v>1</v>
      </c>
      <c r="P252">
        <v>0</v>
      </c>
      <c r="Q252">
        <v>3108.361204013378</v>
      </c>
      <c r="R252">
        <v>13.37792642140468</v>
      </c>
      <c r="S252">
        <v>232.35</v>
      </c>
      <c r="T252">
        <v>0</v>
      </c>
      <c r="U252">
        <v>0</v>
      </c>
      <c r="V252">
        <v>0</v>
      </c>
      <c r="W252">
        <v>8.444192298531748</v>
      </c>
      <c r="X252">
        <v>1</v>
      </c>
    </row>
    <row r="253" spans="1:24">
      <c r="A253" t="s">
        <v>798</v>
      </c>
      <c r="B253" t="s">
        <v>799</v>
      </c>
      <c r="C253" t="s">
        <v>52</v>
      </c>
      <c r="D253">
        <v>0.9340000000000001</v>
      </c>
      <c r="E253">
        <v>1133</v>
      </c>
      <c r="F253">
        <v>20</v>
      </c>
      <c r="G253" t="s">
        <v>36</v>
      </c>
      <c r="H253" t="s">
        <v>800</v>
      </c>
      <c r="I253" t="s">
        <v>29</v>
      </c>
      <c r="J253" t="s">
        <v>38</v>
      </c>
      <c r="K253" t="s">
        <v>30</v>
      </c>
      <c r="L253" t="s">
        <v>38</v>
      </c>
      <c r="M253" t="s">
        <v>97</v>
      </c>
      <c r="N253">
        <v>20</v>
      </c>
      <c r="O253">
        <v>1</v>
      </c>
      <c r="P253">
        <v>0</v>
      </c>
      <c r="Q253">
        <v>1213.06209850107</v>
      </c>
      <c r="R253">
        <v>21.41327623126338</v>
      </c>
      <c r="S253">
        <v>56.65</v>
      </c>
      <c r="T253">
        <v>0</v>
      </c>
      <c r="U253">
        <v>0</v>
      </c>
      <c r="V253">
        <v>0</v>
      </c>
      <c r="W253">
        <v>7.033506484287697</v>
      </c>
      <c r="X253">
        <v>0</v>
      </c>
    </row>
    <row r="254" spans="1:24">
      <c r="A254" t="s">
        <v>801</v>
      </c>
      <c r="B254" t="s">
        <v>802</v>
      </c>
      <c r="C254" t="s">
        <v>35</v>
      </c>
      <c r="D254">
        <v>3.557</v>
      </c>
      <c r="E254">
        <v>4847</v>
      </c>
      <c r="F254">
        <v>18</v>
      </c>
      <c r="G254" t="s">
        <v>47</v>
      </c>
      <c r="H254" t="s">
        <v>803</v>
      </c>
      <c r="I254" t="s">
        <v>29</v>
      </c>
      <c r="J254" t="s">
        <v>31</v>
      </c>
      <c r="K254" t="s">
        <v>30</v>
      </c>
      <c r="L254" t="s">
        <v>30</v>
      </c>
      <c r="M254" t="s">
        <v>44</v>
      </c>
      <c r="N254">
        <v>21</v>
      </c>
      <c r="O254">
        <v>1</v>
      </c>
      <c r="P254">
        <v>0</v>
      </c>
      <c r="Q254">
        <v>1362.665167275794</v>
      </c>
      <c r="R254">
        <v>5.060444194545966</v>
      </c>
      <c r="S254">
        <v>269.2777777777778</v>
      </c>
      <c r="T254">
        <v>0</v>
      </c>
      <c r="U254">
        <v>0</v>
      </c>
      <c r="V254">
        <v>0</v>
      </c>
      <c r="W254">
        <v>8.486321527749149</v>
      </c>
      <c r="X254">
        <v>0</v>
      </c>
    </row>
    <row r="255" spans="1:24">
      <c r="A255" t="s">
        <v>804</v>
      </c>
      <c r="B255" t="s">
        <v>805</v>
      </c>
      <c r="C255" t="s">
        <v>26</v>
      </c>
      <c r="D255">
        <v>2.194</v>
      </c>
      <c r="E255">
        <v>3485</v>
      </c>
      <c r="F255">
        <v>22</v>
      </c>
      <c r="G255" t="s">
        <v>27</v>
      </c>
      <c r="H255" t="s">
        <v>806</v>
      </c>
      <c r="I255" t="s">
        <v>29</v>
      </c>
      <c r="J255" t="s">
        <v>30</v>
      </c>
      <c r="K255" t="s">
        <v>30</v>
      </c>
      <c r="L255" t="s">
        <v>31</v>
      </c>
      <c r="M255" t="s">
        <v>76</v>
      </c>
      <c r="N255">
        <v>21</v>
      </c>
      <c r="O255">
        <v>1</v>
      </c>
      <c r="P255">
        <v>0</v>
      </c>
      <c r="Q255">
        <v>1588.422971741112</v>
      </c>
      <c r="R255">
        <v>10.02734731084777</v>
      </c>
      <c r="S255">
        <v>158.4090909090909</v>
      </c>
      <c r="T255">
        <v>0</v>
      </c>
      <c r="U255">
        <v>0</v>
      </c>
      <c r="V255">
        <v>0</v>
      </c>
      <c r="W255">
        <v>8.156510226079966</v>
      </c>
      <c r="X255">
        <v>0</v>
      </c>
    </row>
    <row r="256" spans="1:24">
      <c r="A256" t="s">
        <v>807</v>
      </c>
      <c r="B256" t="s">
        <v>808</v>
      </c>
      <c r="C256" t="s">
        <v>26</v>
      </c>
      <c r="D256">
        <v>3.578</v>
      </c>
      <c r="E256">
        <v>5518</v>
      </c>
      <c r="F256">
        <v>15</v>
      </c>
      <c r="G256" t="s">
        <v>27</v>
      </c>
      <c r="H256" t="s">
        <v>809</v>
      </c>
      <c r="I256" t="s">
        <v>29</v>
      </c>
      <c r="J256" t="s">
        <v>30</v>
      </c>
      <c r="K256" t="s">
        <v>31</v>
      </c>
      <c r="L256" t="s">
        <v>38</v>
      </c>
      <c r="M256" t="s">
        <v>44</v>
      </c>
      <c r="N256">
        <v>21</v>
      </c>
      <c r="O256">
        <v>1</v>
      </c>
      <c r="P256">
        <v>0</v>
      </c>
      <c r="Q256">
        <v>1542.202347680268</v>
      </c>
      <c r="R256">
        <v>4.192286193404136</v>
      </c>
      <c r="S256">
        <v>367.8666666666667</v>
      </c>
      <c r="T256">
        <v>0</v>
      </c>
      <c r="U256">
        <v>0</v>
      </c>
      <c r="V256">
        <v>0</v>
      </c>
      <c r="W256">
        <v>8.615951963439501</v>
      </c>
      <c r="X256">
        <v>0</v>
      </c>
    </row>
    <row r="257" spans="1:24">
      <c r="A257" t="s">
        <v>810</v>
      </c>
      <c r="B257" t="s">
        <v>811</v>
      </c>
      <c r="C257" t="s">
        <v>26</v>
      </c>
      <c r="D257">
        <v>7.707</v>
      </c>
      <c r="E257">
        <v>2813</v>
      </c>
      <c r="F257">
        <v>22</v>
      </c>
      <c r="G257" t="s">
        <v>27</v>
      </c>
      <c r="H257" t="s">
        <v>812</v>
      </c>
      <c r="I257" t="s">
        <v>29</v>
      </c>
      <c r="J257" t="s">
        <v>30</v>
      </c>
      <c r="K257" t="s">
        <v>30</v>
      </c>
      <c r="L257" t="s">
        <v>31</v>
      </c>
      <c r="M257" t="s">
        <v>32</v>
      </c>
      <c r="N257">
        <v>21</v>
      </c>
      <c r="O257">
        <v>1</v>
      </c>
      <c r="P257">
        <v>0</v>
      </c>
      <c r="Q257">
        <v>364.9928636304658</v>
      </c>
      <c r="R257">
        <v>2.85454781367588</v>
      </c>
      <c r="S257">
        <v>127.8636363636364</v>
      </c>
      <c r="T257">
        <v>0</v>
      </c>
      <c r="U257">
        <v>0</v>
      </c>
      <c r="V257">
        <v>0</v>
      </c>
      <c r="W257">
        <v>7.942362237674335</v>
      </c>
      <c r="X257">
        <v>0</v>
      </c>
    </row>
    <row r="258" spans="1:24">
      <c r="A258" t="s">
        <v>813</v>
      </c>
      <c r="B258" t="s">
        <v>814</v>
      </c>
      <c r="C258" t="s">
        <v>35</v>
      </c>
      <c r="D258">
        <v>2.761</v>
      </c>
      <c r="E258">
        <v>1932</v>
      </c>
      <c r="F258">
        <v>14</v>
      </c>
      <c r="G258" t="s">
        <v>27</v>
      </c>
      <c r="H258" t="s">
        <v>815</v>
      </c>
      <c r="I258" t="s">
        <v>29</v>
      </c>
      <c r="J258" t="s">
        <v>30</v>
      </c>
      <c r="K258" t="s">
        <v>31</v>
      </c>
      <c r="L258" t="s">
        <v>30</v>
      </c>
      <c r="M258" t="s">
        <v>83</v>
      </c>
      <c r="N258">
        <v>21</v>
      </c>
      <c r="O258">
        <v>1</v>
      </c>
      <c r="P258">
        <v>0</v>
      </c>
      <c r="Q258">
        <v>699.7464686707714</v>
      </c>
      <c r="R258">
        <v>5.070626584570808</v>
      </c>
      <c r="S258">
        <v>138</v>
      </c>
      <c r="T258">
        <v>0</v>
      </c>
      <c r="U258">
        <v>0</v>
      </c>
      <c r="V258">
        <v>0</v>
      </c>
      <c r="W258">
        <v>7.566828479208331</v>
      </c>
      <c r="X258">
        <v>0</v>
      </c>
    </row>
    <row r="259" spans="1:24">
      <c r="A259" t="s">
        <v>816</v>
      </c>
      <c r="B259" t="s">
        <v>817</v>
      </c>
      <c r="C259" t="s">
        <v>35</v>
      </c>
      <c r="D259">
        <v>3.145</v>
      </c>
      <c r="E259">
        <v>536</v>
      </c>
      <c r="F259">
        <v>17</v>
      </c>
      <c r="G259" t="s">
        <v>36</v>
      </c>
      <c r="H259" t="s">
        <v>818</v>
      </c>
      <c r="I259" t="s">
        <v>29</v>
      </c>
      <c r="J259" t="s">
        <v>38</v>
      </c>
      <c r="K259" t="s">
        <v>30</v>
      </c>
      <c r="L259" t="s">
        <v>31</v>
      </c>
      <c r="M259" t="s">
        <v>97</v>
      </c>
      <c r="N259">
        <v>21</v>
      </c>
      <c r="O259">
        <v>1</v>
      </c>
      <c r="P259">
        <v>0</v>
      </c>
      <c r="Q259">
        <v>170.429252782194</v>
      </c>
      <c r="R259">
        <v>5.405405405405405</v>
      </c>
      <c r="S259">
        <v>31.52941176470588</v>
      </c>
      <c r="T259">
        <v>0</v>
      </c>
      <c r="U259">
        <v>0</v>
      </c>
      <c r="V259">
        <v>0</v>
      </c>
      <c r="W259">
        <v>6.285998094508865</v>
      </c>
      <c r="X259">
        <v>0</v>
      </c>
    </row>
    <row r="260" spans="1:24">
      <c r="A260" t="s">
        <v>819</v>
      </c>
      <c r="B260" t="s">
        <v>820</v>
      </c>
      <c r="C260" t="s">
        <v>35</v>
      </c>
      <c r="D260">
        <v>6.373</v>
      </c>
      <c r="E260">
        <v>982</v>
      </c>
      <c r="F260">
        <v>18</v>
      </c>
      <c r="G260" t="s">
        <v>36</v>
      </c>
      <c r="H260" t="s">
        <v>821</v>
      </c>
      <c r="I260" t="s">
        <v>29</v>
      </c>
      <c r="J260" t="s">
        <v>38</v>
      </c>
      <c r="K260" t="s">
        <v>31</v>
      </c>
      <c r="L260" t="s">
        <v>38</v>
      </c>
      <c r="M260" t="s">
        <v>97</v>
      </c>
      <c r="N260">
        <v>21</v>
      </c>
      <c r="O260">
        <v>1</v>
      </c>
      <c r="P260">
        <v>0</v>
      </c>
      <c r="Q260">
        <v>154.08755688059</v>
      </c>
      <c r="R260">
        <v>2.824415502902871</v>
      </c>
      <c r="S260">
        <v>54.55555555555556</v>
      </c>
      <c r="T260">
        <v>0</v>
      </c>
      <c r="U260">
        <v>0</v>
      </c>
      <c r="V260">
        <v>0</v>
      </c>
      <c r="W260">
        <v>6.890609120147166</v>
      </c>
      <c r="X260">
        <v>0</v>
      </c>
    </row>
    <row r="261" spans="1:24">
      <c r="A261" t="s">
        <v>822</v>
      </c>
      <c r="B261" t="s">
        <v>823</v>
      </c>
      <c r="C261" t="s">
        <v>130</v>
      </c>
      <c r="D261">
        <v>2.386</v>
      </c>
      <c r="E261">
        <v>25560</v>
      </c>
      <c r="F261">
        <v>135</v>
      </c>
      <c r="G261" t="s">
        <v>27</v>
      </c>
      <c r="H261" t="s">
        <v>824</v>
      </c>
      <c r="I261" t="s">
        <v>49</v>
      </c>
      <c r="J261" t="s">
        <v>30</v>
      </c>
      <c r="K261" t="s">
        <v>30</v>
      </c>
      <c r="L261" t="s">
        <v>30</v>
      </c>
      <c r="M261" t="s">
        <v>76</v>
      </c>
      <c r="N261">
        <v>21</v>
      </c>
      <c r="O261">
        <v>1</v>
      </c>
      <c r="P261">
        <v>0</v>
      </c>
      <c r="Q261">
        <v>10712.48952221291</v>
      </c>
      <c r="R261">
        <v>56.58005029337804</v>
      </c>
      <c r="S261">
        <v>189.3333333333333</v>
      </c>
      <c r="T261">
        <v>0</v>
      </c>
      <c r="U261">
        <v>0</v>
      </c>
      <c r="V261">
        <v>1</v>
      </c>
      <c r="W261">
        <v>10.14882303135684</v>
      </c>
      <c r="X261">
        <v>1</v>
      </c>
    </row>
    <row r="262" spans="1:24">
      <c r="A262" t="s">
        <v>825</v>
      </c>
      <c r="B262" t="s">
        <v>826</v>
      </c>
      <c r="C262" t="s">
        <v>26</v>
      </c>
      <c r="D262">
        <v>1.04</v>
      </c>
      <c r="E262">
        <v>1819</v>
      </c>
      <c r="F262">
        <v>26</v>
      </c>
      <c r="G262" t="s">
        <v>36</v>
      </c>
      <c r="H262" t="s">
        <v>827</v>
      </c>
      <c r="I262" t="s">
        <v>29</v>
      </c>
      <c r="J262" t="s">
        <v>38</v>
      </c>
      <c r="K262" t="s">
        <v>30</v>
      </c>
      <c r="L262" t="s">
        <v>30</v>
      </c>
      <c r="M262" t="s">
        <v>76</v>
      </c>
      <c r="N262">
        <v>21</v>
      </c>
      <c r="O262">
        <v>1</v>
      </c>
      <c r="P262">
        <v>0</v>
      </c>
      <c r="Q262">
        <v>1749.038461538461</v>
      </c>
      <c r="R262">
        <v>25</v>
      </c>
      <c r="S262">
        <v>69.96153846153847</v>
      </c>
      <c r="T262">
        <v>0</v>
      </c>
      <c r="U262">
        <v>0</v>
      </c>
      <c r="V262">
        <v>0</v>
      </c>
      <c r="W262">
        <v>7.506591780070841</v>
      </c>
      <c r="X262">
        <v>0</v>
      </c>
    </row>
    <row r="263" spans="1:24">
      <c r="A263" t="s">
        <v>828</v>
      </c>
      <c r="B263" t="s">
        <v>829</v>
      </c>
      <c r="C263" t="s">
        <v>26</v>
      </c>
      <c r="D263">
        <v>0.709</v>
      </c>
      <c r="E263">
        <v>3167</v>
      </c>
      <c r="F263">
        <v>16</v>
      </c>
      <c r="G263" t="s">
        <v>27</v>
      </c>
      <c r="H263" t="s">
        <v>830</v>
      </c>
      <c r="I263" t="s">
        <v>29</v>
      </c>
      <c r="J263" t="s">
        <v>30</v>
      </c>
      <c r="K263" t="s">
        <v>30</v>
      </c>
      <c r="L263" t="s">
        <v>30</v>
      </c>
      <c r="M263" t="s">
        <v>97</v>
      </c>
      <c r="N263">
        <v>21</v>
      </c>
      <c r="O263">
        <v>1</v>
      </c>
      <c r="P263">
        <v>0</v>
      </c>
      <c r="Q263">
        <v>4466.854724964739</v>
      </c>
      <c r="R263">
        <v>22.56699576868829</v>
      </c>
      <c r="S263">
        <v>197.9375</v>
      </c>
      <c r="T263">
        <v>0</v>
      </c>
      <c r="U263">
        <v>0</v>
      </c>
      <c r="V263">
        <v>0</v>
      </c>
      <c r="W263">
        <v>8.060855752934316</v>
      </c>
      <c r="X263">
        <v>0</v>
      </c>
    </row>
    <row r="264" spans="1:24">
      <c r="A264" t="s">
        <v>831</v>
      </c>
      <c r="B264" t="s">
        <v>832</v>
      </c>
      <c r="C264" t="s">
        <v>35</v>
      </c>
      <c r="D264">
        <v>3.56</v>
      </c>
      <c r="E264">
        <v>12751</v>
      </c>
      <c r="F264">
        <v>28</v>
      </c>
      <c r="G264" t="s">
        <v>36</v>
      </c>
      <c r="H264" t="s">
        <v>833</v>
      </c>
      <c r="I264" t="s">
        <v>29</v>
      </c>
      <c r="J264" t="s">
        <v>38</v>
      </c>
      <c r="K264" t="s">
        <v>30</v>
      </c>
      <c r="L264" t="s">
        <v>31</v>
      </c>
      <c r="M264" t="s">
        <v>97</v>
      </c>
      <c r="N264">
        <v>21</v>
      </c>
      <c r="O264">
        <v>1</v>
      </c>
      <c r="P264">
        <v>0</v>
      </c>
      <c r="Q264">
        <v>3581.741573033708</v>
      </c>
      <c r="R264">
        <v>7.865168539325842</v>
      </c>
      <c r="S264">
        <v>455.3928571428572</v>
      </c>
      <c r="T264">
        <v>0</v>
      </c>
      <c r="U264">
        <v>0</v>
      </c>
      <c r="V264">
        <v>1</v>
      </c>
      <c r="W264">
        <v>9.453443401029997</v>
      </c>
      <c r="X264">
        <v>0</v>
      </c>
    </row>
    <row r="265" spans="1:24">
      <c r="A265" t="s">
        <v>834</v>
      </c>
      <c r="B265" t="s">
        <v>835</v>
      </c>
      <c r="C265" t="s">
        <v>26</v>
      </c>
      <c r="D265">
        <v>0.665</v>
      </c>
      <c r="E265">
        <v>1863</v>
      </c>
      <c r="F265">
        <v>18</v>
      </c>
      <c r="G265" t="s">
        <v>36</v>
      </c>
      <c r="H265" t="s">
        <v>836</v>
      </c>
      <c r="I265" t="s">
        <v>29</v>
      </c>
      <c r="J265" t="s">
        <v>38</v>
      </c>
      <c r="K265" t="s">
        <v>31</v>
      </c>
      <c r="L265" t="s">
        <v>30</v>
      </c>
      <c r="M265" t="s">
        <v>44</v>
      </c>
      <c r="N265">
        <v>21</v>
      </c>
      <c r="O265">
        <v>1</v>
      </c>
      <c r="P265">
        <v>0</v>
      </c>
      <c r="Q265">
        <v>2801.503759398496</v>
      </c>
      <c r="R265">
        <v>27.06766917293233</v>
      </c>
      <c r="S265">
        <v>103.5</v>
      </c>
      <c r="T265">
        <v>0</v>
      </c>
      <c r="U265">
        <v>0</v>
      </c>
      <c r="V265">
        <v>0</v>
      </c>
      <c r="W265">
        <v>7.530479995245536</v>
      </c>
      <c r="X265">
        <v>0</v>
      </c>
    </row>
    <row r="266" spans="1:24">
      <c r="A266" t="s">
        <v>837</v>
      </c>
      <c r="B266" t="s">
        <v>838</v>
      </c>
      <c r="C266" t="s">
        <v>26</v>
      </c>
      <c r="D266">
        <v>9.738</v>
      </c>
      <c r="E266">
        <v>9821</v>
      </c>
      <c r="F266">
        <v>13</v>
      </c>
      <c r="G266" t="s">
        <v>27</v>
      </c>
      <c r="H266" t="s">
        <v>839</v>
      </c>
      <c r="I266" t="s">
        <v>29</v>
      </c>
      <c r="J266" t="s">
        <v>30</v>
      </c>
      <c r="K266" t="s">
        <v>30</v>
      </c>
      <c r="L266" t="s">
        <v>31</v>
      </c>
      <c r="M266" t="s">
        <v>97</v>
      </c>
      <c r="N266">
        <v>22</v>
      </c>
      <c r="O266">
        <v>1</v>
      </c>
      <c r="P266">
        <v>0</v>
      </c>
      <c r="Q266">
        <v>1008.523310741425</v>
      </c>
      <c r="R266">
        <v>1.334976381187102</v>
      </c>
      <c r="S266">
        <v>755.4615384615385</v>
      </c>
      <c r="T266">
        <v>0</v>
      </c>
      <c r="U266">
        <v>1</v>
      </c>
      <c r="V266">
        <v>1</v>
      </c>
      <c r="W266">
        <v>9.19238004659919</v>
      </c>
      <c r="X266">
        <v>0</v>
      </c>
    </row>
    <row r="267" spans="1:24">
      <c r="A267" t="s">
        <v>840</v>
      </c>
      <c r="B267" t="s">
        <v>841</v>
      </c>
      <c r="C267" t="s">
        <v>35</v>
      </c>
      <c r="D267">
        <v>5.575</v>
      </c>
      <c r="E267">
        <v>2572</v>
      </c>
      <c r="F267">
        <v>21</v>
      </c>
      <c r="G267" t="s">
        <v>47</v>
      </c>
      <c r="H267" t="s">
        <v>842</v>
      </c>
      <c r="I267" t="s">
        <v>29</v>
      </c>
      <c r="J267" t="s">
        <v>31</v>
      </c>
      <c r="K267" t="s">
        <v>30</v>
      </c>
      <c r="L267" t="s">
        <v>30</v>
      </c>
      <c r="M267" t="s">
        <v>44</v>
      </c>
      <c r="N267">
        <v>22</v>
      </c>
      <c r="O267">
        <v>1</v>
      </c>
      <c r="P267">
        <v>0</v>
      </c>
      <c r="Q267">
        <v>461.3452914798206</v>
      </c>
      <c r="R267">
        <v>3.766816143497758</v>
      </c>
      <c r="S267">
        <v>122.4761904761905</v>
      </c>
      <c r="T267">
        <v>0</v>
      </c>
      <c r="U267">
        <v>1</v>
      </c>
      <c r="V267">
        <v>0</v>
      </c>
      <c r="W267">
        <v>7.852827812281744</v>
      </c>
      <c r="X267">
        <v>0</v>
      </c>
    </row>
    <row r="268" spans="1:24">
      <c r="A268" t="s">
        <v>843</v>
      </c>
      <c r="B268" t="s">
        <v>844</v>
      </c>
      <c r="C268" t="s">
        <v>26</v>
      </c>
      <c r="D268">
        <v>1.722</v>
      </c>
      <c r="E268">
        <v>5387</v>
      </c>
      <c r="F268">
        <v>21</v>
      </c>
      <c r="G268" t="s">
        <v>36</v>
      </c>
      <c r="H268" t="s">
        <v>845</v>
      </c>
      <c r="I268" t="s">
        <v>29</v>
      </c>
      <c r="J268" t="s">
        <v>38</v>
      </c>
      <c r="K268" t="s">
        <v>30</v>
      </c>
      <c r="L268" t="s">
        <v>31</v>
      </c>
      <c r="M268" t="s">
        <v>39</v>
      </c>
      <c r="N268">
        <v>22</v>
      </c>
      <c r="O268">
        <v>1</v>
      </c>
      <c r="P268">
        <v>0</v>
      </c>
      <c r="Q268">
        <v>3128.339140534263</v>
      </c>
      <c r="R268">
        <v>12.19512195121951</v>
      </c>
      <c r="S268">
        <v>256.5238095238095</v>
      </c>
      <c r="T268">
        <v>0</v>
      </c>
      <c r="U268">
        <v>1</v>
      </c>
      <c r="V268">
        <v>0</v>
      </c>
      <c r="W268">
        <v>8.591929537530255</v>
      </c>
      <c r="X268">
        <v>0</v>
      </c>
    </row>
    <row r="269" spans="1:24">
      <c r="A269" t="s">
        <v>846</v>
      </c>
      <c r="B269" t="s">
        <v>847</v>
      </c>
      <c r="C269" t="s">
        <v>35</v>
      </c>
      <c r="D269">
        <v>1.571</v>
      </c>
      <c r="E269">
        <v>2550</v>
      </c>
      <c r="F269">
        <v>24</v>
      </c>
      <c r="G269" t="s">
        <v>27</v>
      </c>
      <c r="H269" t="s">
        <v>848</v>
      </c>
      <c r="I269" t="s">
        <v>29</v>
      </c>
      <c r="J269" t="s">
        <v>30</v>
      </c>
      <c r="K269" t="s">
        <v>38</v>
      </c>
      <c r="L269" t="s">
        <v>30</v>
      </c>
      <c r="M269" t="s">
        <v>97</v>
      </c>
      <c r="N269">
        <v>22</v>
      </c>
      <c r="O269">
        <v>1</v>
      </c>
      <c r="P269">
        <v>0</v>
      </c>
      <c r="Q269">
        <v>1623.169955442394</v>
      </c>
      <c r="R269">
        <v>15.27689369828135</v>
      </c>
      <c r="S269">
        <v>106.25</v>
      </c>
      <c r="T269">
        <v>0</v>
      </c>
      <c r="U269">
        <v>1</v>
      </c>
      <c r="V269">
        <v>0</v>
      </c>
      <c r="W269">
        <v>7.844240718141811</v>
      </c>
      <c r="X269">
        <v>0</v>
      </c>
    </row>
    <row r="270" spans="1:24">
      <c r="A270" t="s">
        <v>849</v>
      </c>
      <c r="B270" t="s">
        <v>850</v>
      </c>
      <c r="C270" t="s">
        <v>26</v>
      </c>
      <c r="D270">
        <v>0.047</v>
      </c>
      <c r="E270">
        <v>1307</v>
      </c>
      <c r="F270">
        <v>1</v>
      </c>
      <c r="G270" t="s">
        <v>27</v>
      </c>
      <c r="H270" t="s">
        <v>851</v>
      </c>
      <c r="I270" t="s">
        <v>90</v>
      </c>
      <c r="J270" t="s">
        <v>30</v>
      </c>
      <c r="K270" t="s">
        <v>30</v>
      </c>
      <c r="L270" t="s">
        <v>31</v>
      </c>
      <c r="M270" t="s">
        <v>39</v>
      </c>
      <c r="N270">
        <v>22</v>
      </c>
      <c r="O270">
        <v>1</v>
      </c>
      <c r="P270">
        <v>0</v>
      </c>
      <c r="Q270">
        <v>27808.51063829788</v>
      </c>
      <c r="R270">
        <v>21.27659574468085</v>
      </c>
      <c r="S270">
        <v>1307</v>
      </c>
      <c r="T270">
        <v>0</v>
      </c>
      <c r="U270">
        <v>1</v>
      </c>
      <c r="V270">
        <v>0</v>
      </c>
      <c r="W270">
        <v>7.176254532017144</v>
      </c>
      <c r="X270">
        <v>1</v>
      </c>
    </row>
    <row r="271" spans="1:24">
      <c r="A271" t="s">
        <v>852</v>
      </c>
      <c r="B271" t="s">
        <v>853</v>
      </c>
      <c r="C271" t="s">
        <v>52</v>
      </c>
      <c r="D271">
        <v>10.88</v>
      </c>
      <c r="E271">
        <v>2704</v>
      </c>
      <c r="F271">
        <v>16</v>
      </c>
      <c r="G271" t="s">
        <v>62</v>
      </c>
      <c r="H271" t="s">
        <v>854</v>
      </c>
      <c r="I271" t="s">
        <v>29</v>
      </c>
      <c r="J271" t="s">
        <v>30</v>
      </c>
      <c r="K271" t="s">
        <v>30</v>
      </c>
      <c r="L271" t="s">
        <v>30</v>
      </c>
      <c r="M271" t="s">
        <v>32</v>
      </c>
      <c r="N271">
        <v>22</v>
      </c>
      <c r="O271">
        <v>1</v>
      </c>
      <c r="P271">
        <v>0</v>
      </c>
      <c r="Q271">
        <v>248.5294117647058</v>
      </c>
      <c r="R271">
        <v>1.470588235294118</v>
      </c>
      <c r="S271">
        <v>169</v>
      </c>
      <c r="T271">
        <v>0</v>
      </c>
      <c r="U271">
        <v>1</v>
      </c>
      <c r="V271">
        <v>0</v>
      </c>
      <c r="W271">
        <v>7.902857191280582</v>
      </c>
      <c r="X271">
        <v>0</v>
      </c>
    </row>
    <row r="272" spans="1:24">
      <c r="A272" t="s">
        <v>855</v>
      </c>
      <c r="B272" t="s">
        <v>856</v>
      </c>
      <c r="C272" t="s">
        <v>35</v>
      </c>
      <c r="D272">
        <v>1.807</v>
      </c>
      <c r="E272">
        <v>3031</v>
      </c>
      <c r="F272">
        <v>24</v>
      </c>
      <c r="G272" t="s">
        <v>47</v>
      </c>
      <c r="H272" t="s">
        <v>857</v>
      </c>
      <c r="I272" t="s">
        <v>29</v>
      </c>
      <c r="J272" t="s">
        <v>31</v>
      </c>
      <c r="K272" t="s">
        <v>30</v>
      </c>
      <c r="L272" t="s">
        <v>31</v>
      </c>
      <c r="M272" t="s">
        <v>44</v>
      </c>
      <c r="N272">
        <v>22</v>
      </c>
      <c r="O272">
        <v>1</v>
      </c>
      <c r="P272">
        <v>0</v>
      </c>
      <c r="Q272">
        <v>1677.365799667958</v>
      </c>
      <c r="R272">
        <v>13.28168234643055</v>
      </c>
      <c r="S272">
        <v>126.2916666666667</v>
      </c>
      <c r="T272">
        <v>0</v>
      </c>
      <c r="U272">
        <v>1</v>
      </c>
      <c r="V272">
        <v>0</v>
      </c>
      <c r="W272">
        <v>8.016977746762262</v>
      </c>
      <c r="X272">
        <v>0</v>
      </c>
    </row>
    <row r="273" spans="1:24">
      <c r="A273" t="s">
        <v>858</v>
      </c>
      <c r="B273" t="s">
        <v>859</v>
      </c>
      <c r="C273" t="s">
        <v>35</v>
      </c>
      <c r="D273">
        <v>4.825</v>
      </c>
      <c r="E273">
        <v>9453</v>
      </c>
      <c r="F273">
        <v>22</v>
      </c>
      <c r="G273" t="s">
        <v>27</v>
      </c>
      <c r="H273" t="s">
        <v>860</v>
      </c>
      <c r="I273" t="s">
        <v>29</v>
      </c>
      <c r="J273" t="s">
        <v>30</v>
      </c>
      <c r="K273" t="s">
        <v>30</v>
      </c>
      <c r="L273" t="s">
        <v>30</v>
      </c>
      <c r="M273" t="s">
        <v>32</v>
      </c>
      <c r="N273">
        <v>22</v>
      </c>
      <c r="O273">
        <v>1</v>
      </c>
      <c r="P273">
        <v>0</v>
      </c>
      <c r="Q273">
        <v>1959.170984455958</v>
      </c>
      <c r="R273">
        <v>4.55958549222798</v>
      </c>
      <c r="S273">
        <v>429.6818181818182</v>
      </c>
      <c r="T273">
        <v>0</v>
      </c>
      <c r="U273">
        <v>1</v>
      </c>
      <c r="V273">
        <v>0</v>
      </c>
      <c r="W273">
        <v>9.15419321135318</v>
      </c>
      <c r="X273">
        <v>0</v>
      </c>
    </row>
    <row r="274" spans="1:24">
      <c r="A274" t="s">
        <v>861</v>
      </c>
      <c r="B274" t="s">
        <v>862</v>
      </c>
      <c r="C274" t="s">
        <v>26</v>
      </c>
      <c r="D274">
        <v>10.209</v>
      </c>
      <c r="E274">
        <v>1671</v>
      </c>
      <c r="F274">
        <v>12</v>
      </c>
      <c r="G274" t="s">
        <v>27</v>
      </c>
      <c r="H274" t="s">
        <v>863</v>
      </c>
      <c r="I274" t="s">
        <v>29</v>
      </c>
      <c r="J274" t="s">
        <v>30</v>
      </c>
      <c r="K274" t="s">
        <v>30</v>
      </c>
      <c r="L274" t="s">
        <v>30</v>
      </c>
      <c r="M274" t="s">
        <v>32</v>
      </c>
      <c r="N274">
        <v>22</v>
      </c>
      <c r="O274">
        <v>1</v>
      </c>
      <c r="P274">
        <v>0</v>
      </c>
      <c r="Q274">
        <v>163.6791066705848</v>
      </c>
      <c r="R274">
        <v>1.175433441081399</v>
      </c>
      <c r="S274">
        <v>139.25</v>
      </c>
      <c r="T274">
        <v>0</v>
      </c>
      <c r="U274">
        <v>1</v>
      </c>
      <c r="V274">
        <v>0</v>
      </c>
      <c r="W274">
        <v>7.421775793644647</v>
      </c>
      <c r="X274">
        <v>0</v>
      </c>
    </row>
    <row r="275" spans="1:24">
      <c r="A275" t="s">
        <v>864</v>
      </c>
      <c r="B275" t="s">
        <v>865</v>
      </c>
      <c r="C275" t="s">
        <v>26</v>
      </c>
      <c r="D275">
        <v>12.102</v>
      </c>
      <c r="E275">
        <v>6762</v>
      </c>
      <c r="F275">
        <v>15</v>
      </c>
      <c r="G275" t="s">
        <v>27</v>
      </c>
      <c r="H275" t="s">
        <v>866</v>
      </c>
      <c r="I275" t="s">
        <v>29</v>
      </c>
      <c r="J275" t="s">
        <v>30</v>
      </c>
      <c r="K275" t="s">
        <v>31</v>
      </c>
      <c r="L275" t="s">
        <v>30</v>
      </c>
      <c r="M275" t="s">
        <v>39</v>
      </c>
      <c r="N275">
        <v>22</v>
      </c>
      <c r="O275">
        <v>1</v>
      </c>
      <c r="P275">
        <v>0</v>
      </c>
      <c r="Q275">
        <v>558.7506197322756</v>
      </c>
      <c r="R275">
        <v>1.239464551313832</v>
      </c>
      <c r="S275">
        <v>450.8</v>
      </c>
      <c r="T275">
        <v>0</v>
      </c>
      <c r="U275">
        <v>1</v>
      </c>
      <c r="V275">
        <v>0</v>
      </c>
      <c r="W275">
        <v>8.81922185757494</v>
      </c>
      <c r="X275">
        <v>0</v>
      </c>
    </row>
    <row r="276" spans="1:24">
      <c r="A276" t="s">
        <v>867</v>
      </c>
      <c r="B276" t="s">
        <v>868</v>
      </c>
      <c r="C276" t="s">
        <v>35</v>
      </c>
      <c r="D276">
        <v>0.656</v>
      </c>
      <c r="E276">
        <v>843</v>
      </c>
      <c r="F276">
        <v>19</v>
      </c>
      <c r="G276" t="s">
        <v>47</v>
      </c>
      <c r="H276" t="s">
        <v>869</v>
      </c>
      <c r="I276" t="s">
        <v>29</v>
      </c>
      <c r="J276" t="s">
        <v>31</v>
      </c>
      <c r="K276" t="s">
        <v>30</v>
      </c>
      <c r="L276" t="s">
        <v>30</v>
      </c>
      <c r="M276" t="s">
        <v>76</v>
      </c>
      <c r="N276">
        <v>22</v>
      </c>
      <c r="O276">
        <v>1</v>
      </c>
      <c r="P276">
        <v>0</v>
      </c>
      <c r="Q276">
        <v>1285.060975609756</v>
      </c>
      <c r="R276">
        <v>28.96341463414634</v>
      </c>
      <c r="S276">
        <v>44.36842105263158</v>
      </c>
      <c r="T276">
        <v>0</v>
      </c>
      <c r="U276">
        <v>1</v>
      </c>
      <c r="V276">
        <v>0</v>
      </c>
      <c r="W276">
        <v>6.738152494595957</v>
      </c>
      <c r="X276">
        <v>0</v>
      </c>
    </row>
    <row r="277" spans="1:24">
      <c r="A277" t="s">
        <v>870</v>
      </c>
      <c r="B277" t="s">
        <v>871</v>
      </c>
      <c r="C277" t="s">
        <v>35</v>
      </c>
      <c r="D277">
        <v>5.188</v>
      </c>
      <c r="E277">
        <v>3057</v>
      </c>
      <c r="F277">
        <v>16</v>
      </c>
      <c r="G277" t="s">
        <v>36</v>
      </c>
      <c r="H277" t="s">
        <v>872</v>
      </c>
      <c r="I277" t="s">
        <v>29</v>
      </c>
      <c r="J277" t="s">
        <v>38</v>
      </c>
      <c r="K277" t="s">
        <v>30</v>
      </c>
      <c r="L277" t="s">
        <v>30</v>
      </c>
      <c r="M277" t="s">
        <v>39</v>
      </c>
      <c r="N277">
        <v>22</v>
      </c>
      <c r="O277">
        <v>1</v>
      </c>
      <c r="P277">
        <v>0</v>
      </c>
      <c r="Q277">
        <v>589.2444101773324</v>
      </c>
      <c r="R277">
        <v>3.084040092521203</v>
      </c>
      <c r="S277">
        <v>191.0625</v>
      </c>
      <c r="T277">
        <v>0</v>
      </c>
      <c r="U277">
        <v>1</v>
      </c>
      <c r="V277">
        <v>0</v>
      </c>
      <c r="W277">
        <v>8.025516386489008</v>
      </c>
      <c r="X277">
        <v>0</v>
      </c>
    </row>
    <row r="278" spans="1:24">
      <c r="A278" t="s">
        <v>873</v>
      </c>
      <c r="B278" t="s">
        <v>874</v>
      </c>
      <c r="C278" t="s">
        <v>35</v>
      </c>
      <c r="D278">
        <v>2.121</v>
      </c>
      <c r="E278">
        <v>1363</v>
      </c>
      <c r="F278">
        <v>22</v>
      </c>
      <c r="G278" t="s">
        <v>27</v>
      </c>
      <c r="H278" t="s">
        <v>875</v>
      </c>
      <c r="I278" t="s">
        <v>29</v>
      </c>
      <c r="J278" t="s">
        <v>30</v>
      </c>
      <c r="K278" t="s">
        <v>30</v>
      </c>
      <c r="L278" t="s">
        <v>31</v>
      </c>
      <c r="M278" t="s">
        <v>44</v>
      </c>
      <c r="N278">
        <v>23</v>
      </c>
      <c r="O278">
        <v>1</v>
      </c>
      <c r="P278">
        <v>0</v>
      </c>
      <c r="Q278">
        <v>642.6214049976426</v>
      </c>
      <c r="R278">
        <v>10.37246581801037</v>
      </c>
      <c r="S278">
        <v>61.95454545454545</v>
      </c>
      <c r="T278">
        <v>0</v>
      </c>
      <c r="U278">
        <v>1</v>
      </c>
      <c r="V278">
        <v>0</v>
      </c>
      <c r="W278">
        <v>7.218176838403408</v>
      </c>
      <c r="X278">
        <v>0</v>
      </c>
    </row>
    <row r="279" spans="1:24">
      <c r="A279" t="s">
        <v>876</v>
      </c>
      <c r="B279" t="s">
        <v>877</v>
      </c>
      <c r="C279" t="s">
        <v>26</v>
      </c>
      <c r="D279">
        <v>2.859</v>
      </c>
      <c r="E279">
        <v>3692</v>
      </c>
      <c r="F279">
        <v>16</v>
      </c>
      <c r="G279" t="s">
        <v>62</v>
      </c>
      <c r="H279" t="s">
        <v>878</v>
      </c>
      <c r="I279" t="s">
        <v>29</v>
      </c>
      <c r="J279" t="s">
        <v>30</v>
      </c>
      <c r="K279" t="s">
        <v>30</v>
      </c>
      <c r="L279" t="s">
        <v>31</v>
      </c>
      <c r="M279" t="s">
        <v>97</v>
      </c>
      <c r="N279">
        <v>23</v>
      </c>
      <c r="O279">
        <v>1</v>
      </c>
      <c r="P279">
        <v>0</v>
      </c>
      <c r="Q279">
        <v>1291.36061559986</v>
      </c>
      <c r="R279">
        <v>5.596362364463099</v>
      </c>
      <c r="S279">
        <v>230.75</v>
      </c>
      <c r="T279">
        <v>0</v>
      </c>
      <c r="U279">
        <v>1</v>
      </c>
      <c r="V279">
        <v>0</v>
      </c>
      <c r="W279">
        <v>8.214194414852564</v>
      </c>
      <c r="X279">
        <v>0</v>
      </c>
    </row>
    <row r="280" spans="1:24">
      <c r="A280" t="s">
        <v>879</v>
      </c>
      <c r="B280" t="s">
        <v>880</v>
      </c>
      <c r="C280" t="s">
        <v>35</v>
      </c>
      <c r="D280">
        <v>0.092</v>
      </c>
      <c r="E280">
        <v>1101</v>
      </c>
      <c r="F280">
        <v>1</v>
      </c>
      <c r="G280" t="s">
        <v>36</v>
      </c>
      <c r="H280" t="s">
        <v>881</v>
      </c>
      <c r="I280" t="s">
        <v>90</v>
      </c>
      <c r="J280" t="s">
        <v>38</v>
      </c>
      <c r="K280" t="s">
        <v>38</v>
      </c>
      <c r="L280" t="s">
        <v>31</v>
      </c>
      <c r="M280" t="s">
        <v>83</v>
      </c>
      <c r="N280">
        <v>23</v>
      </c>
      <c r="O280">
        <v>1</v>
      </c>
      <c r="P280">
        <v>0</v>
      </c>
      <c r="Q280">
        <v>11967.39130434783</v>
      </c>
      <c r="R280">
        <v>10.8695652173913</v>
      </c>
      <c r="S280">
        <v>1101</v>
      </c>
      <c r="T280">
        <v>0</v>
      </c>
      <c r="U280">
        <v>1</v>
      </c>
      <c r="V280">
        <v>0</v>
      </c>
      <c r="W280">
        <v>7.004881989712859</v>
      </c>
      <c r="X280">
        <v>1</v>
      </c>
    </row>
    <row r="281" spans="1:24">
      <c r="A281" t="s">
        <v>882</v>
      </c>
      <c r="B281" t="s">
        <v>883</v>
      </c>
      <c r="C281" t="s">
        <v>26</v>
      </c>
      <c r="D281">
        <v>2.457</v>
      </c>
      <c r="E281">
        <v>3142</v>
      </c>
      <c r="F281">
        <v>14</v>
      </c>
      <c r="G281" t="s">
        <v>62</v>
      </c>
      <c r="H281" t="s">
        <v>884</v>
      </c>
      <c r="I281" t="s">
        <v>29</v>
      </c>
      <c r="J281" t="s">
        <v>30</v>
      </c>
      <c r="K281" t="s">
        <v>30</v>
      </c>
      <c r="L281" t="s">
        <v>31</v>
      </c>
      <c r="M281" t="s">
        <v>39</v>
      </c>
      <c r="N281">
        <v>23</v>
      </c>
      <c r="O281">
        <v>1</v>
      </c>
      <c r="P281">
        <v>0</v>
      </c>
      <c r="Q281">
        <v>1278.795278795279</v>
      </c>
      <c r="R281">
        <v>5.698005698005699</v>
      </c>
      <c r="S281">
        <v>224.4285714285714</v>
      </c>
      <c r="T281">
        <v>0</v>
      </c>
      <c r="U281">
        <v>1</v>
      </c>
      <c r="V281">
        <v>0</v>
      </c>
      <c r="W281">
        <v>8.052933036797567</v>
      </c>
      <c r="X281">
        <v>0</v>
      </c>
    </row>
    <row r="282" spans="1:24">
      <c r="A282" t="s">
        <v>885</v>
      </c>
      <c r="B282" t="s">
        <v>886</v>
      </c>
      <c r="C282" t="s">
        <v>52</v>
      </c>
      <c r="D282">
        <v>0.273</v>
      </c>
      <c r="E282">
        <v>1938</v>
      </c>
      <c r="F282">
        <v>14</v>
      </c>
      <c r="G282" t="s">
        <v>47</v>
      </c>
      <c r="H282" t="s">
        <v>887</v>
      </c>
      <c r="I282" t="s">
        <v>29</v>
      </c>
      <c r="J282" t="s">
        <v>31</v>
      </c>
      <c r="K282" t="s">
        <v>31</v>
      </c>
      <c r="L282" t="s">
        <v>31</v>
      </c>
      <c r="M282" t="s">
        <v>44</v>
      </c>
      <c r="N282">
        <v>23</v>
      </c>
      <c r="O282">
        <v>1</v>
      </c>
      <c r="P282">
        <v>0</v>
      </c>
      <c r="Q282">
        <v>7098.901098901099</v>
      </c>
      <c r="R282">
        <v>51.28205128205128</v>
      </c>
      <c r="S282">
        <v>138.4285714285714</v>
      </c>
      <c r="T282">
        <v>0</v>
      </c>
      <c r="U282">
        <v>1</v>
      </c>
      <c r="V282">
        <v>0</v>
      </c>
      <c r="W282">
        <v>7.569927655242652</v>
      </c>
      <c r="X282">
        <v>0</v>
      </c>
    </row>
    <row r="283" spans="1:24">
      <c r="A283" t="s">
        <v>888</v>
      </c>
      <c r="B283" t="s">
        <v>889</v>
      </c>
      <c r="C283" t="s">
        <v>35</v>
      </c>
      <c r="D283">
        <v>3.782</v>
      </c>
      <c r="E283">
        <v>3999</v>
      </c>
      <c r="F283">
        <v>24</v>
      </c>
      <c r="G283" t="s">
        <v>62</v>
      </c>
      <c r="H283" t="s">
        <v>890</v>
      </c>
      <c r="I283" t="s">
        <v>29</v>
      </c>
      <c r="J283" t="s">
        <v>30</v>
      </c>
      <c r="K283" t="s">
        <v>31</v>
      </c>
      <c r="L283" t="s">
        <v>31</v>
      </c>
      <c r="M283" t="s">
        <v>97</v>
      </c>
      <c r="N283">
        <v>23</v>
      </c>
      <c r="O283">
        <v>1</v>
      </c>
      <c r="P283">
        <v>0</v>
      </c>
      <c r="Q283">
        <v>1057.377049180328</v>
      </c>
      <c r="R283">
        <v>6.345848757271285</v>
      </c>
      <c r="S283">
        <v>166.625</v>
      </c>
      <c r="T283">
        <v>0</v>
      </c>
      <c r="U283">
        <v>1</v>
      </c>
      <c r="V283">
        <v>0</v>
      </c>
      <c r="W283">
        <v>8.294049640102028</v>
      </c>
      <c r="X283">
        <v>0</v>
      </c>
    </row>
    <row r="284" spans="1:24">
      <c r="A284" t="s">
        <v>891</v>
      </c>
      <c r="B284" t="s">
        <v>892</v>
      </c>
      <c r="C284" t="s">
        <v>52</v>
      </c>
      <c r="D284">
        <v>1.492</v>
      </c>
      <c r="E284">
        <v>4566</v>
      </c>
      <c r="F284">
        <v>16</v>
      </c>
      <c r="G284" t="s">
        <v>62</v>
      </c>
      <c r="H284" t="s">
        <v>893</v>
      </c>
      <c r="I284" t="s">
        <v>29</v>
      </c>
      <c r="J284" t="s">
        <v>30</v>
      </c>
      <c r="K284" t="s">
        <v>31</v>
      </c>
      <c r="L284" t="s">
        <v>31</v>
      </c>
      <c r="M284" t="s">
        <v>44</v>
      </c>
      <c r="N284">
        <v>23</v>
      </c>
      <c r="O284">
        <v>1</v>
      </c>
      <c r="P284">
        <v>0</v>
      </c>
      <c r="Q284">
        <v>3060.321715817694</v>
      </c>
      <c r="R284">
        <v>10.72386058981233</v>
      </c>
      <c r="S284">
        <v>285.375</v>
      </c>
      <c r="T284">
        <v>0</v>
      </c>
      <c r="U284">
        <v>1</v>
      </c>
      <c r="V284">
        <v>0</v>
      </c>
      <c r="W284">
        <v>8.426611813185</v>
      </c>
      <c r="X284">
        <v>0</v>
      </c>
    </row>
    <row r="285" spans="1:24">
      <c r="A285" t="s">
        <v>894</v>
      </c>
      <c r="B285" t="s">
        <v>895</v>
      </c>
      <c r="C285" t="s">
        <v>26</v>
      </c>
      <c r="D285">
        <v>0.118</v>
      </c>
      <c r="E285">
        <v>1558</v>
      </c>
      <c r="F285">
        <v>2</v>
      </c>
      <c r="G285" t="s">
        <v>27</v>
      </c>
      <c r="H285" t="s">
        <v>896</v>
      </c>
      <c r="I285" t="s">
        <v>90</v>
      </c>
      <c r="J285" t="s">
        <v>30</v>
      </c>
      <c r="K285" t="s">
        <v>30</v>
      </c>
      <c r="L285" t="s">
        <v>30</v>
      </c>
      <c r="M285" t="s">
        <v>44</v>
      </c>
      <c r="N285">
        <v>23</v>
      </c>
      <c r="O285">
        <v>1</v>
      </c>
      <c r="P285">
        <v>0</v>
      </c>
      <c r="Q285">
        <v>13203.38983050848</v>
      </c>
      <c r="R285">
        <v>16.94915254237288</v>
      </c>
      <c r="S285">
        <v>779</v>
      </c>
      <c r="T285">
        <v>0</v>
      </c>
      <c r="U285">
        <v>1</v>
      </c>
      <c r="V285">
        <v>0</v>
      </c>
      <c r="W285">
        <v>7.351799869057777</v>
      </c>
      <c r="X285">
        <v>1</v>
      </c>
    </row>
    <row r="286" spans="1:24">
      <c r="A286" t="s">
        <v>897</v>
      </c>
      <c r="B286" t="s">
        <v>898</v>
      </c>
      <c r="C286" t="s">
        <v>26</v>
      </c>
      <c r="D286">
        <v>2.159</v>
      </c>
      <c r="E286">
        <v>2017</v>
      </c>
      <c r="F286">
        <v>15</v>
      </c>
      <c r="G286" t="s">
        <v>62</v>
      </c>
      <c r="H286" t="s">
        <v>899</v>
      </c>
      <c r="I286" t="s">
        <v>29</v>
      </c>
      <c r="J286" t="s">
        <v>30</v>
      </c>
      <c r="K286" t="s">
        <v>38</v>
      </c>
      <c r="L286" t="s">
        <v>31</v>
      </c>
      <c r="M286" t="s">
        <v>44</v>
      </c>
      <c r="N286">
        <v>23</v>
      </c>
      <c r="O286">
        <v>1</v>
      </c>
      <c r="P286">
        <v>0</v>
      </c>
      <c r="Q286">
        <v>934.22880963409</v>
      </c>
      <c r="R286">
        <v>6.947660954145438</v>
      </c>
      <c r="S286">
        <v>134.4666666666667</v>
      </c>
      <c r="T286">
        <v>0</v>
      </c>
      <c r="U286">
        <v>1</v>
      </c>
      <c r="V286">
        <v>0</v>
      </c>
      <c r="W286">
        <v>7.609862200913554</v>
      </c>
      <c r="X286">
        <v>0</v>
      </c>
    </row>
    <row r="287" spans="1:24">
      <c r="A287" t="s">
        <v>900</v>
      </c>
      <c r="B287" t="s">
        <v>901</v>
      </c>
      <c r="C287" t="s">
        <v>35</v>
      </c>
      <c r="D287">
        <v>0.877</v>
      </c>
      <c r="E287">
        <v>1569</v>
      </c>
      <c r="F287">
        <v>13</v>
      </c>
      <c r="G287" t="s">
        <v>27</v>
      </c>
      <c r="H287" t="s">
        <v>902</v>
      </c>
      <c r="I287" t="s">
        <v>29</v>
      </c>
      <c r="J287" t="s">
        <v>30</v>
      </c>
      <c r="K287" t="s">
        <v>30</v>
      </c>
      <c r="L287" t="s">
        <v>30</v>
      </c>
      <c r="M287" t="s">
        <v>97</v>
      </c>
      <c r="N287">
        <v>23</v>
      </c>
      <c r="O287">
        <v>1</v>
      </c>
      <c r="P287">
        <v>0</v>
      </c>
      <c r="Q287">
        <v>1789.053591790194</v>
      </c>
      <c r="R287">
        <v>14.82326111744584</v>
      </c>
      <c r="S287">
        <v>120.6923076923077</v>
      </c>
      <c r="T287">
        <v>0</v>
      </c>
      <c r="U287">
        <v>1</v>
      </c>
      <c r="V287">
        <v>0</v>
      </c>
      <c r="W287">
        <v>7.358830898342354</v>
      </c>
      <c r="X287">
        <v>0</v>
      </c>
    </row>
    <row r="288" spans="1:24">
      <c r="A288" t="s">
        <v>903</v>
      </c>
      <c r="B288" t="s">
        <v>904</v>
      </c>
      <c r="C288" t="s">
        <v>35</v>
      </c>
      <c r="D288">
        <v>5.195</v>
      </c>
      <c r="E288">
        <v>2299</v>
      </c>
      <c r="F288">
        <v>20</v>
      </c>
      <c r="G288" t="s">
        <v>62</v>
      </c>
      <c r="H288" t="s">
        <v>905</v>
      </c>
      <c r="I288" t="s">
        <v>29</v>
      </c>
      <c r="J288" t="s">
        <v>30</v>
      </c>
      <c r="K288" t="s">
        <v>30</v>
      </c>
      <c r="L288" t="s">
        <v>31</v>
      </c>
      <c r="M288" t="s">
        <v>32</v>
      </c>
      <c r="N288">
        <v>23</v>
      </c>
      <c r="O288">
        <v>1</v>
      </c>
      <c r="P288">
        <v>0</v>
      </c>
      <c r="Q288">
        <v>442.5409047160731</v>
      </c>
      <c r="R288">
        <v>3.849855630413859</v>
      </c>
      <c r="S288">
        <v>114.95</v>
      </c>
      <c r="T288">
        <v>0</v>
      </c>
      <c r="U288">
        <v>1</v>
      </c>
      <c r="V288">
        <v>0</v>
      </c>
      <c r="W288">
        <v>7.740664401917241</v>
      </c>
      <c r="X288">
        <v>0</v>
      </c>
    </row>
    <row r="289" spans="1:24">
      <c r="A289" t="s">
        <v>906</v>
      </c>
      <c r="B289" t="s">
        <v>907</v>
      </c>
      <c r="C289" t="s">
        <v>26</v>
      </c>
      <c r="D289">
        <v>2.78</v>
      </c>
      <c r="E289">
        <v>5134</v>
      </c>
      <c r="F289">
        <v>21</v>
      </c>
      <c r="G289" t="s">
        <v>62</v>
      </c>
      <c r="H289" t="s">
        <v>908</v>
      </c>
      <c r="I289" t="s">
        <v>29</v>
      </c>
      <c r="J289" t="s">
        <v>30</v>
      </c>
      <c r="K289" t="s">
        <v>30</v>
      </c>
      <c r="L289" t="s">
        <v>30</v>
      </c>
      <c r="M289" t="s">
        <v>39</v>
      </c>
      <c r="N289">
        <v>23</v>
      </c>
      <c r="O289">
        <v>1</v>
      </c>
      <c r="P289">
        <v>0</v>
      </c>
      <c r="Q289">
        <v>1846.762589928058</v>
      </c>
      <c r="R289">
        <v>7.553956834532374</v>
      </c>
      <c r="S289">
        <v>244.4761904761905</v>
      </c>
      <c r="T289">
        <v>0</v>
      </c>
      <c r="U289">
        <v>1</v>
      </c>
      <c r="V289">
        <v>0</v>
      </c>
      <c r="W289">
        <v>8.543835122362658</v>
      </c>
      <c r="X289">
        <v>0</v>
      </c>
    </row>
    <row r="290" spans="1:24">
      <c r="A290" t="s">
        <v>909</v>
      </c>
      <c r="B290" t="s">
        <v>910</v>
      </c>
      <c r="C290" t="s">
        <v>130</v>
      </c>
      <c r="D290">
        <v>5.137</v>
      </c>
      <c r="E290">
        <v>1865</v>
      </c>
      <c r="F290">
        <v>14</v>
      </c>
      <c r="G290" t="s">
        <v>36</v>
      </c>
      <c r="H290" t="s">
        <v>911</v>
      </c>
      <c r="I290" t="s">
        <v>29</v>
      </c>
      <c r="J290" t="s">
        <v>38</v>
      </c>
      <c r="K290" t="s">
        <v>30</v>
      </c>
      <c r="L290" t="s">
        <v>30</v>
      </c>
      <c r="M290" t="s">
        <v>44</v>
      </c>
      <c r="N290">
        <v>0</v>
      </c>
      <c r="O290">
        <v>2</v>
      </c>
      <c r="P290">
        <v>0</v>
      </c>
      <c r="Q290">
        <v>363.0523651936928</v>
      </c>
      <c r="R290">
        <v>2.725326065797158</v>
      </c>
      <c r="S290">
        <v>133.2142857142857</v>
      </c>
      <c r="T290">
        <v>0</v>
      </c>
      <c r="U290">
        <v>1</v>
      </c>
      <c r="V290">
        <v>0</v>
      </c>
      <c r="W290">
        <v>7.531552381407289</v>
      </c>
      <c r="X290">
        <v>0</v>
      </c>
    </row>
    <row r="291" spans="1:24">
      <c r="A291" t="s">
        <v>912</v>
      </c>
      <c r="B291" t="s">
        <v>913</v>
      </c>
      <c r="C291" t="s">
        <v>35</v>
      </c>
      <c r="D291">
        <v>3.435</v>
      </c>
      <c r="E291">
        <v>3947</v>
      </c>
      <c r="F291">
        <v>23</v>
      </c>
      <c r="G291" t="s">
        <v>62</v>
      </c>
      <c r="H291" t="s">
        <v>914</v>
      </c>
      <c r="I291" t="s">
        <v>29</v>
      </c>
      <c r="J291" t="s">
        <v>30</v>
      </c>
      <c r="K291" t="s">
        <v>30</v>
      </c>
      <c r="L291" t="s">
        <v>30</v>
      </c>
      <c r="M291" t="s">
        <v>44</v>
      </c>
      <c r="N291">
        <v>0</v>
      </c>
      <c r="O291">
        <v>2</v>
      </c>
      <c r="P291">
        <v>0</v>
      </c>
      <c r="Q291">
        <v>1149.053857350801</v>
      </c>
      <c r="R291">
        <v>6.695778748180495</v>
      </c>
      <c r="S291">
        <v>171.6086956521739</v>
      </c>
      <c r="T291">
        <v>0</v>
      </c>
      <c r="U291">
        <v>1</v>
      </c>
      <c r="V291">
        <v>0</v>
      </c>
      <c r="W291">
        <v>8.280964400553373</v>
      </c>
      <c r="X291">
        <v>0</v>
      </c>
    </row>
    <row r="292" spans="1:24">
      <c r="A292" t="s">
        <v>915</v>
      </c>
      <c r="B292" t="s">
        <v>916</v>
      </c>
      <c r="C292" t="s">
        <v>35</v>
      </c>
      <c r="D292">
        <v>1.639</v>
      </c>
      <c r="E292">
        <v>3398</v>
      </c>
      <c r="F292">
        <v>18</v>
      </c>
      <c r="G292" t="s">
        <v>47</v>
      </c>
      <c r="H292" t="s">
        <v>917</v>
      </c>
      <c r="I292" t="s">
        <v>29</v>
      </c>
      <c r="J292" t="s">
        <v>31</v>
      </c>
      <c r="K292" t="s">
        <v>30</v>
      </c>
      <c r="L292" t="s">
        <v>30</v>
      </c>
      <c r="M292" t="s">
        <v>97</v>
      </c>
      <c r="N292">
        <v>0</v>
      </c>
      <c r="O292">
        <v>2</v>
      </c>
      <c r="P292">
        <v>0</v>
      </c>
      <c r="Q292">
        <v>2073.215375228798</v>
      </c>
      <c r="R292">
        <v>10.98230628431971</v>
      </c>
      <c r="S292">
        <v>188.7777777777778</v>
      </c>
      <c r="T292">
        <v>0</v>
      </c>
      <c r="U292">
        <v>1</v>
      </c>
      <c r="V292">
        <v>0</v>
      </c>
      <c r="W292">
        <v>8.131236549696116</v>
      </c>
      <c r="X292">
        <v>0</v>
      </c>
    </row>
    <row r="293" spans="1:24">
      <c r="A293" t="s">
        <v>918</v>
      </c>
      <c r="B293" t="s">
        <v>919</v>
      </c>
      <c r="C293" t="s">
        <v>26</v>
      </c>
      <c r="D293">
        <v>4.149</v>
      </c>
      <c r="E293">
        <v>1301</v>
      </c>
      <c r="F293">
        <v>19</v>
      </c>
      <c r="G293" t="s">
        <v>27</v>
      </c>
      <c r="H293" t="s">
        <v>920</v>
      </c>
      <c r="I293" t="s">
        <v>29</v>
      </c>
      <c r="J293" t="s">
        <v>30</v>
      </c>
      <c r="K293" t="s">
        <v>30</v>
      </c>
      <c r="L293" t="s">
        <v>30</v>
      </c>
      <c r="M293" t="s">
        <v>83</v>
      </c>
      <c r="N293">
        <v>0</v>
      </c>
      <c r="O293">
        <v>2</v>
      </c>
      <c r="P293">
        <v>0</v>
      </c>
      <c r="Q293">
        <v>313.5695348276693</v>
      </c>
      <c r="R293">
        <v>4.57941672692215</v>
      </c>
      <c r="S293">
        <v>68.47368421052632</v>
      </c>
      <c r="T293">
        <v>0</v>
      </c>
      <c r="U293">
        <v>1</v>
      </c>
      <c r="V293">
        <v>0</v>
      </c>
      <c r="W293">
        <v>7.171656822768514</v>
      </c>
      <c r="X293">
        <v>0</v>
      </c>
    </row>
    <row r="294" spans="1:24">
      <c r="A294" t="s">
        <v>921</v>
      </c>
      <c r="B294" t="s">
        <v>922</v>
      </c>
      <c r="C294" t="s">
        <v>35</v>
      </c>
      <c r="D294">
        <v>1.451</v>
      </c>
      <c r="E294">
        <v>32952</v>
      </c>
      <c r="F294">
        <v>127</v>
      </c>
      <c r="G294" t="s">
        <v>36</v>
      </c>
      <c r="H294" t="s">
        <v>923</v>
      </c>
      <c r="I294" t="s">
        <v>49</v>
      </c>
      <c r="J294" t="s">
        <v>38</v>
      </c>
      <c r="K294" t="s">
        <v>30</v>
      </c>
      <c r="L294" t="s">
        <v>31</v>
      </c>
      <c r="M294" t="s">
        <v>97</v>
      </c>
      <c r="N294">
        <v>0</v>
      </c>
      <c r="O294">
        <v>2</v>
      </c>
      <c r="P294">
        <v>0</v>
      </c>
      <c r="Q294">
        <v>22709.85527222605</v>
      </c>
      <c r="R294">
        <v>87.52584424534803</v>
      </c>
      <c r="S294">
        <v>259.4645669291339</v>
      </c>
      <c r="T294">
        <v>0</v>
      </c>
      <c r="U294">
        <v>1</v>
      </c>
      <c r="V294">
        <v>1</v>
      </c>
      <c r="W294">
        <v>10.4028375828271</v>
      </c>
      <c r="X294">
        <v>1</v>
      </c>
    </row>
    <row r="295" spans="1:24">
      <c r="A295" t="s">
        <v>924</v>
      </c>
      <c r="B295" t="s">
        <v>925</v>
      </c>
      <c r="C295" t="s">
        <v>52</v>
      </c>
      <c r="D295">
        <v>2.578</v>
      </c>
      <c r="E295">
        <v>5760</v>
      </c>
      <c r="F295">
        <v>22</v>
      </c>
      <c r="G295" t="s">
        <v>27</v>
      </c>
      <c r="H295" t="s">
        <v>926</v>
      </c>
      <c r="I295" t="s">
        <v>29</v>
      </c>
      <c r="J295" t="s">
        <v>30</v>
      </c>
      <c r="K295" t="s">
        <v>30</v>
      </c>
      <c r="L295" t="s">
        <v>30</v>
      </c>
      <c r="M295" t="s">
        <v>44</v>
      </c>
      <c r="N295">
        <v>0</v>
      </c>
      <c r="O295">
        <v>2</v>
      </c>
      <c r="P295">
        <v>0</v>
      </c>
      <c r="Q295">
        <v>2234.290147401086</v>
      </c>
      <c r="R295">
        <v>8.533747090768038</v>
      </c>
      <c r="S295">
        <v>261.8181818181818</v>
      </c>
      <c r="T295">
        <v>0</v>
      </c>
      <c r="U295">
        <v>1</v>
      </c>
      <c r="V295">
        <v>0</v>
      </c>
      <c r="W295">
        <v>8.658866349732383</v>
      </c>
      <c r="X295">
        <v>0</v>
      </c>
    </row>
    <row r="296" spans="1:24">
      <c r="A296" t="s">
        <v>927</v>
      </c>
      <c r="B296" t="s">
        <v>928</v>
      </c>
      <c r="C296" t="s">
        <v>26</v>
      </c>
      <c r="D296">
        <v>1.574</v>
      </c>
      <c r="E296">
        <v>1026</v>
      </c>
      <c r="F296">
        <v>13</v>
      </c>
      <c r="G296" t="s">
        <v>27</v>
      </c>
      <c r="H296" t="s">
        <v>929</v>
      </c>
      <c r="I296" t="s">
        <v>29</v>
      </c>
      <c r="J296" t="s">
        <v>30</v>
      </c>
      <c r="K296" t="s">
        <v>38</v>
      </c>
      <c r="L296" t="s">
        <v>31</v>
      </c>
      <c r="M296" t="s">
        <v>32</v>
      </c>
      <c r="N296">
        <v>0</v>
      </c>
      <c r="O296">
        <v>2</v>
      </c>
      <c r="P296">
        <v>0</v>
      </c>
      <c r="Q296">
        <v>651.8424396442185</v>
      </c>
      <c r="R296">
        <v>8.259212198221093</v>
      </c>
      <c r="S296">
        <v>78.92307692307692</v>
      </c>
      <c r="T296">
        <v>0</v>
      </c>
      <c r="U296">
        <v>1</v>
      </c>
      <c r="V296">
        <v>0</v>
      </c>
      <c r="W296">
        <v>6.934397209928558</v>
      </c>
      <c r="X296">
        <v>0</v>
      </c>
    </row>
    <row r="297" spans="1:24">
      <c r="A297" t="s">
        <v>930</v>
      </c>
      <c r="B297" t="s">
        <v>931</v>
      </c>
      <c r="C297" t="s">
        <v>26</v>
      </c>
      <c r="D297">
        <v>0.267</v>
      </c>
      <c r="E297">
        <v>1137</v>
      </c>
      <c r="F297">
        <v>12</v>
      </c>
      <c r="G297" t="s">
        <v>62</v>
      </c>
      <c r="H297" t="s">
        <v>932</v>
      </c>
      <c r="I297" t="s">
        <v>29</v>
      </c>
      <c r="J297" t="s">
        <v>30</v>
      </c>
      <c r="K297" t="s">
        <v>31</v>
      </c>
      <c r="L297" t="s">
        <v>31</v>
      </c>
      <c r="M297" t="s">
        <v>44</v>
      </c>
      <c r="N297">
        <v>0</v>
      </c>
      <c r="O297">
        <v>2</v>
      </c>
      <c r="P297">
        <v>0</v>
      </c>
      <c r="Q297">
        <v>4258.426966292134</v>
      </c>
      <c r="R297">
        <v>44.9438202247191</v>
      </c>
      <c r="S297">
        <v>94.75</v>
      </c>
      <c r="T297">
        <v>0</v>
      </c>
      <c r="U297">
        <v>1</v>
      </c>
      <c r="V297">
        <v>0</v>
      </c>
      <c r="W297">
        <v>7.037027614686276</v>
      </c>
      <c r="X297">
        <v>0</v>
      </c>
    </row>
    <row r="298" spans="1:24">
      <c r="A298" t="s">
        <v>933</v>
      </c>
      <c r="B298" t="s">
        <v>934</v>
      </c>
      <c r="C298" t="s">
        <v>26</v>
      </c>
      <c r="D298">
        <v>1.757</v>
      </c>
      <c r="E298">
        <v>2011</v>
      </c>
      <c r="F298">
        <v>19</v>
      </c>
      <c r="G298" t="s">
        <v>62</v>
      </c>
      <c r="H298" t="s">
        <v>935</v>
      </c>
      <c r="I298" t="s">
        <v>29</v>
      </c>
      <c r="J298" t="s">
        <v>30</v>
      </c>
      <c r="K298" t="s">
        <v>38</v>
      </c>
      <c r="L298" t="s">
        <v>31</v>
      </c>
      <c r="M298" t="s">
        <v>83</v>
      </c>
      <c r="N298">
        <v>0</v>
      </c>
      <c r="O298">
        <v>2</v>
      </c>
      <c r="P298">
        <v>0</v>
      </c>
      <c r="Q298">
        <v>1144.564598747866</v>
      </c>
      <c r="R298">
        <v>10.81388730791121</v>
      </c>
      <c r="S298">
        <v>105.8421052631579</v>
      </c>
      <c r="T298">
        <v>0</v>
      </c>
      <c r="U298">
        <v>1</v>
      </c>
      <c r="V298">
        <v>0</v>
      </c>
      <c r="W298">
        <v>7.60688453121963</v>
      </c>
      <c r="X298">
        <v>0</v>
      </c>
    </row>
    <row r="299" spans="1:24">
      <c r="A299" t="s">
        <v>936</v>
      </c>
      <c r="B299" t="s">
        <v>937</v>
      </c>
      <c r="C299" t="s">
        <v>35</v>
      </c>
      <c r="D299">
        <v>6.265</v>
      </c>
      <c r="E299">
        <v>1764</v>
      </c>
      <c r="F299">
        <v>18</v>
      </c>
      <c r="G299" t="s">
        <v>47</v>
      </c>
      <c r="H299" t="s">
        <v>938</v>
      </c>
      <c r="I299" t="s">
        <v>29</v>
      </c>
      <c r="J299" t="s">
        <v>31</v>
      </c>
      <c r="K299" t="s">
        <v>31</v>
      </c>
      <c r="L299" t="s">
        <v>31</v>
      </c>
      <c r="M299" t="s">
        <v>44</v>
      </c>
      <c r="N299">
        <v>0</v>
      </c>
      <c r="O299">
        <v>2</v>
      </c>
      <c r="P299">
        <v>0</v>
      </c>
      <c r="Q299">
        <v>281.5642458100559</v>
      </c>
      <c r="R299">
        <v>2.873104549082203</v>
      </c>
      <c r="S299">
        <v>98</v>
      </c>
      <c r="T299">
        <v>0</v>
      </c>
      <c r="U299">
        <v>1</v>
      </c>
      <c r="V299">
        <v>0</v>
      </c>
      <c r="W299">
        <v>7.475905969367397</v>
      </c>
      <c r="X299">
        <v>0</v>
      </c>
    </row>
    <row r="300" spans="1:24">
      <c r="A300" t="s">
        <v>939</v>
      </c>
      <c r="B300" t="s">
        <v>940</v>
      </c>
      <c r="C300" t="s">
        <v>35</v>
      </c>
      <c r="D300">
        <v>0.758</v>
      </c>
      <c r="E300">
        <v>726</v>
      </c>
      <c r="F300">
        <v>20</v>
      </c>
      <c r="G300" t="s">
        <v>47</v>
      </c>
      <c r="H300" t="s">
        <v>941</v>
      </c>
      <c r="I300" t="s">
        <v>29</v>
      </c>
      <c r="J300" t="s">
        <v>31</v>
      </c>
      <c r="K300" t="s">
        <v>31</v>
      </c>
      <c r="L300" t="s">
        <v>38</v>
      </c>
      <c r="M300" t="s">
        <v>39</v>
      </c>
      <c r="N300">
        <v>0</v>
      </c>
      <c r="O300">
        <v>2</v>
      </c>
      <c r="P300">
        <v>0</v>
      </c>
      <c r="Q300">
        <v>957.78364116095</v>
      </c>
      <c r="R300">
        <v>26.38522427440633</v>
      </c>
      <c r="S300">
        <v>36.3</v>
      </c>
      <c r="T300">
        <v>0</v>
      </c>
      <c r="U300">
        <v>1</v>
      </c>
      <c r="V300">
        <v>0</v>
      </c>
      <c r="W300">
        <v>6.588926477533519</v>
      </c>
      <c r="X300">
        <v>0</v>
      </c>
    </row>
    <row r="301" spans="1:24">
      <c r="A301" t="s">
        <v>942</v>
      </c>
      <c r="B301" t="s">
        <v>943</v>
      </c>
      <c r="C301" t="s">
        <v>35</v>
      </c>
      <c r="D301">
        <v>6.124</v>
      </c>
      <c r="E301">
        <v>4097</v>
      </c>
      <c r="F301">
        <v>18</v>
      </c>
      <c r="G301" t="s">
        <v>27</v>
      </c>
      <c r="H301" t="s">
        <v>944</v>
      </c>
      <c r="I301" t="s">
        <v>29</v>
      </c>
      <c r="J301" t="s">
        <v>30</v>
      </c>
      <c r="K301" t="s">
        <v>30</v>
      </c>
      <c r="L301" t="s">
        <v>31</v>
      </c>
      <c r="M301" t="s">
        <v>44</v>
      </c>
      <c r="N301">
        <v>0</v>
      </c>
      <c r="O301">
        <v>2</v>
      </c>
      <c r="P301">
        <v>0</v>
      </c>
      <c r="Q301">
        <v>669.0071848465055</v>
      </c>
      <c r="R301">
        <v>2.939255388634879</v>
      </c>
      <c r="S301">
        <v>227.6111111111111</v>
      </c>
      <c r="T301">
        <v>0</v>
      </c>
      <c r="U301">
        <v>1</v>
      </c>
      <c r="V301">
        <v>0</v>
      </c>
      <c r="W301">
        <v>8.318254328798846</v>
      </c>
      <c r="X301">
        <v>0</v>
      </c>
    </row>
    <row r="302" spans="1:24">
      <c r="A302" t="s">
        <v>945</v>
      </c>
      <c r="B302" t="s">
        <v>946</v>
      </c>
      <c r="C302" t="s">
        <v>35</v>
      </c>
      <c r="D302">
        <v>1.351</v>
      </c>
      <c r="E302">
        <v>1907</v>
      </c>
      <c r="F302">
        <v>22</v>
      </c>
      <c r="G302" t="s">
        <v>36</v>
      </c>
      <c r="H302" t="s">
        <v>947</v>
      </c>
      <c r="I302" t="s">
        <v>29</v>
      </c>
      <c r="J302" t="s">
        <v>38</v>
      </c>
      <c r="K302" t="s">
        <v>30</v>
      </c>
      <c r="L302" t="s">
        <v>30</v>
      </c>
      <c r="M302" t="s">
        <v>83</v>
      </c>
      <c r="N302">
        <v>1</v>
      </c>
      <c r="O302">
        <v>2</v>
      </c>
      <c r="P302">
        <v>0</v>
      </c>
      <c r="Q302">
        <v>1411.547002220577</v>
      </c>
      <c r="R302">
        <v>16.28423390081421</v>
      </c>
      <c r="S302">
        <v>86.68181818181819</v>
      </c>
      <c r="T302">
        <v>0</v>
      </c>
      <c r="U302">
        <v>1</v>
      </c>
      <c r="V302">
        <v>0</v>
      </c>
      <c r="W302">
        <v>7.553810852008231</v>
      </c>
      <c r="X302">
        <v>0</v>
      </c>
    </row>
    <row r="303" spans="1:24">
      <c r="A303" t="s">
        <v>948</v>
      </c>
      <c r="B303" t="s">
        <v>949</v>
      </c>
      <c r="C303" t="s">
        <v>26</v>
      </c>
      <c r="D303">
        <v>8.959</v>
      </c>
      <c r="E303">
        <v>2381</v>
      </c>
      <c r="F303">
        <v>13</v>
      </c>
      <c r="G303" t="s">
        <v>27</v>
      </c>
      <c r="H303" t="s">
        <v>950</v>
      </c>
      <c r="I303" t="s">
        <v>29</v>
      </c>
      <c r="J303" t="s">
        <v>30</v>
      </c>
      <c r="K303" t="s">
        <v>31</v>
      </c>
      <c r="L303" t="s">
        <v>30</v>
      </c>
      <c r="M303" t="s">
        <v>32</v>
      </c>
      <c r="N303">
        <v>1</v>
      </c>
      <c r="O303">
        <v>2</v>
      </c>
      <c r="P303">
        <v>0</v>
      </c>
      <c r="Q303">
        <v>265.7662685567586</v>
      </c>
      <c r="R303">
        <v>1.451054805223797</v>
      </c>
      <c r="S303">
        <v>183.1538461538462</v>
      </c>
      <c r="T303">
        <v>0</v>
      </c>
      <c r="U303">
        <v>1</v>
      </c>
      <c r="V303">
        <v>0</v>
      </c>
      <c r="W303">
        <v>7.775695749915245</v>
      </c>
      <c r="X303">
        <v>0</v>
      </c>
    </row>
    <row r="304" spans="1:24">
      <c r="A304" t="s">
        <v>951</v>
      </c>
      <c r="B304" t="s">
        <v>952</v>
      </c>
      <c r="C304" t="s">
        <v>26</v>
      </c>
      <c r="D304">
        <v>3.615</v>
      </c>
      <c r="E304">
        <v>9008</v>
      </c>
      <c r="F304">
        <v>24</v>
      </c>
      <c r="G304" t="s">
        <v>62</v>
      </c>
      <c r="H304" t="s">
        <v>953</v>
      </c>
      <c r="I304" t="s">
        <v>29</v>
      </c>
      <c r="J304" t="s">
        <v>30</v>
      </c>
      <c r="K304" t="s">
        <v>31</v>
      </c>
      <c r="L304" t="s">
        <v>30</v>
      </c>
      <c r="M304" t="s">
        <v>76</v>
      </c>
      <c r="N304">
        <v>1</v>
      </c>
      <c r="O304">
        <v>2</v>
      </c>
      <c r="P304">
        <v>0</v>
      </c>
      <c r="Q304">
        <v>2491.839557399723</v>
      </c>
      <c r="R304">
        <v>6.639004149377593</v>
      </c>
      <c r="S304">
        <v>375.3333333333333</v>
      </c>
      <c r="T304">
        <v>0</v>
      </c>
      <c r="U304">
        <v>1</v>
      </c>
      <c r="V304">
        <v>0</v>
      </c>
      <c r="W304">
        <v>9.10597935665144</v>
      </c>
      <c r="X304">
        <v>0</v>
      </c>
    </row>
    <row r="305" spans="1:24">
      <c r="A305" t="s">
        <v>954</v>
      </c>
      <c r="B305" t="s">
        <v>955</v>
      </c>
      <c r="C305" t="s">
        <v>26</v>
      </c>
      <c r="D305">
        <v>1.07</v>
      </c>
      <c r="E305">
        <v>1009</v>
      </c>
      <c r="F305">
        <v>31</v>
      </c>
      <c r="G305" t="s">
        <v>47</v>
      </c>
      <c r="H305" t="s">
        <v>956</v>
      </c>
      <c r="I305" t="s">
        <v>29</v>
      </c>
      <c r="J305" t="s">
        <v>31</v>
      </c>
      <c r="K305" t="s">
        <v>31</v>
      </c>
      <c r="L305" t="s">
        <v>38</v>
      </c>
      <c r="M305" t="s">
        <v>44</v>
      </c>
      <c r="N305">
        <v>1</v>
      </c>
      <c r="O305">
        <v>2</v>
      </c>
      <c r="P305">
        <v>0</v>
      </c>
      <c r="Q305">
        <v>942.9906542056074</v>
      </c>
      <c r="R305">
        <v>28.97196261682243</v>
      </c>
      <c r="S305">
        <v>32.54838709677419</v>
      </c>
      <c r="T305">
        <v>0</v>
      </c>
      <c r="U305">
        <v>1</v>
      </c>
      <c r="V305">
        <v>0</v>
      </c>
      <c r="W305">
        <v>6.917705609835305</v>
      </c>
      <c r="X305">
        <v>0</v>
      </c>
    </row>
    <row r="306" spans="1:24">
      <c r="A306" t="s">
        <v>957</v>
      </c>
      <c r="B306" t="s">
        <v>958</v>
      </c>
      <c r="C306" t="s">
        <v>26</v>
      </c>
      <c r="D306">
        <v>9.457000000000001</v>
      </c>
      <c r="E306">
        <v>2863</v>
      </c>
      <c r="F306">
        <v>18</v>
      </c>
      <c r="G306" t="s">
        <v>47</v>
      </c>
      <c r="H306" t="s">
        <v>959</v>
      </c>
      <c r="I306" t="s">
        <v>29</v>
      </c>
      <c r="J306" t="s">
        <v>31</v>
      </c>
      <c r="K306" t="s">
        <v>30</v>
      </c>
      <c r="L306" t="s">
        <v>31</v>
      </c>
      <c r="M306" t="s">
        <v>76</v>
      </c>
      <c r="N306">
        <v>1</v>
      </c>
      <c r="O306">
        <v>2</v>
      </c>
      <c r="P306">
        <v>0</v>
      </c>
      <c r="Q306">
        <v>302.7387120651369</v>
      </c>
      <c r="R306">
        <v>1.903352014380882</v>
      </c>
      <c r="S306">
        <v>159.0555555555555</v>
      </c>
      <c r="T306">
        <v>0</v>
      </c>
      <c r="U306">
        <v>1</v>
      </c>
      <c r="V306">
        <v>0</v>
      </c>
      <c r="W306">
        <v>7.959974528080536</v>
      </c>
      <c r="X306">
        <v>0</v>
      </c>
    </row>
    <row r="307" spans="1:24">
      <c r="A307" t="s">
        <v>960</v>
      </c>
      <c r="B307" t="s">
        <v>961</v>
      </c>
      <c r="C307" t="s">
        <v>35</v>
      </c>
      <c r="D307">
        <v>2.97</v>
      </c>
      <c r="E307">
        <v>979</v>
      </c>
      <c r="F307">
        <v>19</v>
      </c>
      <c r="G307" t="s">
        <v>27</v>
      </c>
      <c r="H307" t="s">
        <v>962</v>
      </c>
      <c r="I307" t="s">
        <v>29</v>
      </c>
      <c r="J307" t="s">
        <v>30</v>
      </c>
      <c r="K307" t="s">
        <v>30</v>
      </c>
      <c r="L307" t="s">
        <v>31</v>
      </c>
      <c r="M307" t="s">
        <v>44</v>
      </c>
      <c r="N307">
        <v>1</v>
      </c>
      <c r="O307">
        <v>2</v>
      </c>
      <c r="P307">
        <v>0</v>
      </c>
      <c r="Q307">
        <v>329.6296296296296</v>
      </c>
      <c r="R307">
        <v>6.397306397306397</v>
      </c>
      <c r="S307">
        <v>51.52631578947368</v>
      </c>
      <c r="T307">
        <v>0</v>
      </c>
      <c r="U307">
        <v>1</v>
      </c>
      <c r="V307">
        <v>0</v>
      </c>
      <c r="W307">
        <v>6.887552571664617</v>
      </c>
      <c r="X307">
        <v>0</v>
      </c>
    </row>
    <row r="308" spans="1:24">
      <c r="A308" t="s">
        <v>963</v>
      </c>
      <c r="B308" t="s">
        <v>964</v>
      </c>
      <c r="C308" t="s">
        <v>26</v>
      </c>
      <c r="D308">
        <v>1.457</v>
      </c>
      <c r="E308">
        <v>611</v>
      </c>
      <c r="F308">
        <v>11</v>
      </c>
      <c r="G308" t="s">
        <v>47</v>
      </c>
      <c r="H308" t="s">
        <v>965</v>
      </c>
      <c r="I308" t="s">
        <v>29</v>
      </c>
      <c r="J308" t="s">
        <v>31</v>
      </c>
      <c r="K308" t="s">
        <v>30</v>
      </c>
      <c r="L308" t="s">
        <v>30</v>
      </c>
      <c r="M308" t="s">
        <v>97</v>
      </c>
      <c r="N308">
        <v>1</v>
      </c>
      <c r="O308">
        <v>2</v>
      </c>
      <c r="P308">
        <v>0</v>
      </c>
      <c r="Q308">
        <v>419.3548387096774</v>
      </c>
      <c r="R308">
        <v>7.549759780370624</v>
      </c>
      <c r="S308">
        <v>55.54545454545455</v>
      </c>
      <c r="T308">
        <v>0</v>
      </c>
      <c r="U308">
        <v>1</v>
      </c>
      <c r="V308">
        <v>0</v>
      </c>
      <c r="W308">
        <v>6.416732282512326</v>
      </c>
      <c r="X308">
        <v>0</v>
      </c>
    </row>
    <row r="309" spans="1:24">
      <c r="A309" t="s">
        <v>966</v>
      </c>
      <c r="B309" t="s">
        <v>967</v>
      </c>
      <c r="C309" t="s">
        <v>26</v>
      </c>
      <c r="D309">
        <v>1.854</v>
      </c>
      <c r="E309">
        <v>3274</v>
      </c>
      <c r="F309">
        <v>15</v>
      </c>
      <c r="G309" t="s">
        <v>27</v>
      </c>
      <c r="H309" t="s">
        <v>968</v>
      </c>
      <c r="I309" t="s">
        <v>29</v>
      </c>
      <c r="J309" t="s">
        <v>30</v>
      </c>
      <c r="K309" t="s">
        <v>30</v>
      </c>
      <c r="L309" t="s">
        <v>30</v>
      </c>
      <c r="M309" t="s">
        <v>97</v>
      </c>
      <c r="N309">
        <v>1</v>
      </c>
      <c r="O309">
        <v>2</v>
      </c>
      <c r="P309">
        <v>0</v>
      </c>
      <c r="Q309">
        <v>1765.911542610572</v>
      </c>
      <c r="R309">
        <v>8.090614886731391</v>
      </c>
      <c r="S309">
        <v>218.2666666666667</v>
      </c>
      <c r="T309">
        <v>0</v>
      </c>
      <c r="U309">
        <v>1</v>
      </c>
      <c r="V309">
        <v>0</v>
      </c>
      <c r="W309">
        <v>8.094073148069352</v>
      </c>
      <c r="X309">
        <v>0</v>
      </c>
    </row>
    <row r="310" spans="1:24">
      <c r="A310" t="s">
        <v>969</v>
      </c>
      <c r="B310" t="s">
        <v>970</v>
      </c>
      <c r="C310" t="s">
        <v>35</v>
      </c>
      <c r="D310">
        <v>4.857</v>
      </c>
      <c r="E310">
        <v>2158</v>
      </c>
      <c r="F310">
        <v>12</v>
      </c>
      <c r="G310" t="s">
        <v>27</v>
      </c>
      <c r="H310" t="s">
        <v>971</v>
      </c>
      <c r="I310" t="s">
        <v>29</v>
      </c>
      <c r="J310" t="s">
        <v>30</v>
      </c>
      <c r="K310" t="s">
        <v>31</v>
      </c>
      <c r="L310" t="s">
        <v>38</v>
      </c>
      <c r="M310" t="s">
        <v>32</v>
      </c>
      <c r="N310">
        <v>1</v>
      </c>
      <c r="O310">
        <v>2</v>
      </c>
      <c r="P310">
        <v>0</v>
      </c>
      <c r="Q310">
        <v>444.307185505456</v>
      </c>
      <c r="R310">
        <v>2.470660901791229</v>
      </c>
      <c r="S310">
        <v>179.8333333333333</v>
      </c>
      <c r="T310">
        <v>0</v>
      </c>
      <c r="U310">
        <v>1</v>
      </c>
      <c r="V310">
        <v>0</v>
      </c>
      <c r="W310">
        <v>7.677400430514807</v>
      </c>
      <c r="X310">
        <v>0</v>
      </c>
    </row>
    <row r="311" spans="1:24">
      <c r="A311" t="s">
        <v>972</v>
      </c>
      <c r="B311" t="s">
        <v>973</v>
      </c>
      <c r="C311" t="s">
        <v>26</v>
      </c>
      <c r="D311">
        <v>2.071</v>
      </c>
      <c r="E311">
        <v>2577</v>
      </c>
      <c r="F311">
        <v>20</v>
      </c>
      <c r="G311" t="s">
        <v>36</v>
      </c>
      <c r="H311" t="s">
        <v>974</v>
      </c>
      <c r="I311" t="s">
        <v>29</v>
      </c>
      <c r="J311" t="s">
        <v>38</v>
      </c>
      <c r="K311" t="s">
        <v>31</v>
      </c>
      <c r="L311" t="s">
        <v>30</v>
      </c>
      <c r="M311" t="s">
        <v>97</v>
      </c>
      <c r="N311">
        <v>1</v>
      </c>
      <c r="O311">
        <v>2</v>
      </c>
      <c r="P311">
        <v>0</v>
      </c>
      <c r="Q311">
        <v>1244.326412361178</v>
      </c>
      <c r="R311">
        <v>9.657170449058423</v>
      </c>
      <c r="S311">
        <v>128.85</v>
      </c>
      <c r="T311">
        <v>0</v>
      </c>
      <c r="U311">
        <v>1</v>
      </c>
      <c r="V311">
        <v>0</v>
      </c>
      <c r="W311">
        <v>7.854769183499132</v>
      </c>
      <c r="X311">
        <v>0</v>
      </c>
    </row>
    <row r="312" spans="1:24">
      <c r="A312" t="s">
        <v>975</v>
      </c>
      <c r="B312" t="s">
        <v>976</v>
      </c>
      <c r="C312" t="s">
        <v>35</v>
      </c>
      <c r="D312">
        <v>3.547</v>
      </c>
      <c r="E312">
        <v>7923</v>
      </c>
      <c r="F312">
        <v>19</v>
      </c>
      <c r="G312" t="s">
        <v>36</v>
      </c>
      <c r="H312" t="s">
        <v>977</v>
      </c>
      <c r="I312" t="s">
        <v>29</v>
      </c>
      <c r="J312" t="s">
        <v>38</v>
      </c>
      <c r="K312" t="s">
        <v>31</v>
      </c>
      <c r="L312" t="s">
        <v>31</v>
      </c>
      <c r="M312" t="s">
        <v>83</v>
      </c>
      <c r="N312">
        <v>1</v>
      </c>
      <c r="O312">
        <v>2</v>
      </c>
      <c r="P312">
        <v>0</v>
      </c>
      <c r="Q312">
        <v>2233.718635466591</v>
      </c>
      <c r="R312">
        <v>5.356639413588948</v>
      </c>
      <c r="S312">
        <v>417</v>
      </c>
      <c r="T312">
        <v>0</v>
      </c>
      <c r="U312">
        <v>1</v>
      </c>
      <c r="V312">
        <v>0</v>
      </c>
      <c r="W312">
        <v>8.977651407818442</v>
      </c>
      <c r="X312">
        <v>0</v>
      </c>
    </row>
    <row r="313" spans="1:24">
      <c r="A313" t="s">
        <v>978</v>
      </c>
      <c r="B313" t="s">
        <v>979</v>
      </c>
      <c r="C313" t="s">
        <v>52</v>
      </c>
      <c r="D313">
        <v>3.69</v>
      </c>
      <c r="E313">
        <v>457</v>
      </c>
      <c r="F313">
        <v>10</v>
      </c>
      <c r="G313" t="s">
        <v>36</v>
      </c>
      <c r="H313" t="s">
        <v>980</v>
      </c>
      <c r="I313" t="s">
        <v>29</v>
      </c>
      <c r="J313" t="s">
        <v>38</v>
      </c>
      <c r="K313" t="s">
        <v>30</v>
      </c>
      <c r="L313" t="s">
        <v>31</v>
      </c>
      <c r="M313" t="s">
        <v>32</v>
      </c>
      <c r="N313">
        <v>1</v>
      </c>
      <c r="O313">
        <v>2</v>
      </c>
      <c r="P313">
        <v>0</v>
      </c>
      <c r="Q313">
        <v>123.8482384823848</v>
      </c>
      <c r="R313">
        <v>2.710027100271003</v>
      </c>
      <c r="S313">
        <v>45.7</v>
      </c>
      <c r="T313">
        <v>0</v>
      </c>
      <c r="U313">
        <v>1</v>
      </c>
      <c r="V313">
        <v>0</v>
      </c>
      <c r="W313">
        <v>6.126869184114185</v>
      </c>
      <c r="X313">
        <v>0</v>
      </c>
    </row>
    <row r="314" spans="1:24">
      <c r="A314" t="s">
        <v>981</v>
      </c>
      <c r="B314" t="s">
        <v>982</v>
      </c>
      <c r="C314" t="s">
        <v>35</v>
      </c>
      <c r="D314">
        <v>2.094</v>
      </c>
      <c r="E314">
        <v>3911</v>
      </c>
      <c r="F314">
        <v>20</v>
      </c>
      <c r="G314" t="s">
        <v>47</v>
      </c>
      <c r="H314" t="s">
        <v>983</v>
      </c>
      <c r="I314" t="s">
        <v>29</v>
      </c>
      <c r="J314" t="s">
        <v>31</v>
      </c>
      <c r="K314" t="s">
        <v>30</v>
      </c>
      <c r="L314" t="s">
        <v>31</v>
      </c>
      <c r="M314" t="s">
        <v>44</v>
      </c>
      <c r="N314">
        <v>2</v>
      </c>
      <c r="O314">
        <v>2</v>
      </c>
      <c r="P314">
        <v>1</v>
      </c>
      <c r="Q314">
        <v>1867.717287488061</v>
      </c>
      <c r="R314">
        <v>9.551098376313275</v>
      </c>
      <c r="S314">
        <v>195.55</v>
      </c>
      <c r="T314">
        <v>0</v>
      </c>
      <c r="U314">
        <v>1</v>
      </c>
      <c r="V314">
        <v>0</v>
      </c>
      <c r="W314">
        <v>8.271804031154709</v>
      </c>
      <c r="X314">
        <v>0</v>
      </c>
    </row>
    <row r="315" spans="1:24">
      <c r="A315" t="s">
        <v>984</v>
      </c>
      <c r="B315" t="s">
        <v>985</v>
      </c>
      <c r="C315" t="s">
        <v>35</v>
      </c>
      <c r="D315">
        <v>4.456</v>
      </c>
      <c r="E315">
        <v>11204</v>
      </c>
      <c r="F315">
        <v>23</v>
      </c>
      <c r="G315" t="s">
        <v>47</v>
      </c>
      <c r="H315" t="s">
        <v>986</v>
      </c>
      <c r="I315" t="s">
        <v>29</v>
      </c>
      <c r="J315" t="s">
        <v>31</v>
      </c>
      <c r="K315" t="s">
        <v>30</v>
      </c>
      <c r="L315" t="s">
        <v>38</v>
      </c>
      <c r="M315" t="s">
        <v>97</v>
      </c>
      <c r="N315">
        <v>2</v>
      </c>
      <c r="O315">
        <v>2</v>
      </c>
      <c r="P315">
        <v>1</v>
      </c>
      <c r="Q315">
        <v>2514.362657091562</v>
      </c>
      <c r="R315">
        <v>5.161579892280072</v>
      </c>
      <c r="S315">
        <v>487.1304347826087</v>
      </c>
      <c r="T315">
        <v>0</v>
      </c>
      <c r="U315">
        <v>1</v>
      </c>
      <c r="V315">
        <v>1</v>
      </c>
      <c r="W315">
        <v>9.324115386235029</v>
      </c>
      <c r="X315">
        <v>0</v>
      </c>
    </row>
    <row r="316" spans="1:24">
      <c r="A316" t="s">
        <v>987</v>
      </c>
      <c r="B316" t="s">
        <v>988</v>
      </c>
      <c r="C316" t="s">
        <v>26</v>
      </c>
      <c r="D316">
        <v>6.167</v>
      </c>
      <c r="E316">
        <v>4287</v>
      </c>
      <c r="F316">
        <v>12</v>
      </c>
      <c r="G316" t="s">
        <v>47</v>
      </c>
      <c r="H316" t="s">
        <v>989</v>
      </c>
      <c r="I316" t="s">
        <v>29</v>
      </c>
      <c r="J316" t="s">
        <v>31</v>
      </c>
      <c r="K316" t="s">
        <v>30</v>
      </c>
      <c r="L316" t="s">
        <v>31</v>
      </c>
      <c r="M316" t="s">
        <v>76</v>
      </c>
      <c r="N316">
        <v>2</v>
      </c>
      <c r="O316">
        <v>2</v>
      </c>
      <c r="P316">
        <v>1</v>
      </c>
      <c r="Q316">
        <v>695.1516134263013</v>
      </c>
      <c r="R316">
        <v>1.945840765364034</v>
      </c>
      <c r="S316">
        <v>357.25</v>
      </c>
      <c r="T316">
        <v>0</v>
      </c>
      <c r="U316">
        <v>1</v>
      </c>
      <c r="V316">
        <v>0</v>
      </c>
      <c r="W316">
        <v>8.363575702750637</v>
      </c>
      <c r="X316">
        <v>0</v>
      </c>
    </row>
    <row r="317" spans="1:24">
      <c r="A317" t="s">
        <v>990</v>
      </c>
      <c r="B317" t="s">
        <v>991</v>
      </c>
      <c r="C317" t="s">
        <v>26</v>
      </c>
      <c r="D317">
        <v>2.324</v>
      </c>
      <c r="E317">
        <v>7948</v>
      </c>
      <c r="F317">
        <v>25</v>
      </c>
      <c r="G317" t="s">
        <v>36</v>
      </c>
      <c r="H317" t="s">
        <v>992</v>
      </c>
      <c r="I317" t="s">
        <v>29</v>
      </c>
      <c r="J317" t="s">
        <v>38</v>
      </c>
      <c r="K317" t="s">
        <v>30</v>
      </c>
      <c r="L317" t="s">
        <v>30</v>
      </c>
      <c r="M317" t="s">
        <v>32</v>
      </c>
      <c r="N317">
        <v>2</v>
      </c>
      <c r="O317">
        <v>2</v>
      </c>
      <c r="P317">
        <v>1</v>
      </c>
      <c r="Q317">
        <v>3419.965576592083</v>
      </c>
      <c r="R317">
        <v>10.75731497418244</v>
      </c>
      <c r="S317">
        <v>317.92</v>
      </c>
      <c r="T317">
        <v>0</v>
      </c>
      <c r="U317">
        <v>1</v>
      </c>
      <c r="V317">
        <v>0</v>
      </c>
      <c r="W317">
        <v>8.980801413573113</v>
      </c>
      <c r="X317">
        <v>0</v>
      </c>
    </row>
    <row r="318" spans="1:24">
      <c r="A318" t="s">
        <v>993</v>
      </c>
      <c r="B318" t="s">
        <v>994</v>
      </c>
      <c r="C318" t="s">
        <v>35</v>
      </c>
      <c r="D318">
        <v>2.906</v>
      </c>
      <c r="E318">
        <v>1302</v>
      </c>
      <c r="F318">
        <v>23</v>
      </c>
      <c r="G318" t="s">
        <v>27</v>
      </c>
      <c r="H318" t="s">
        <v>995</v>
      </c>
      <c r="I318" t="s">
        <v>29</v>
      </c>
      <c r="J318" t="s">
        <v>30</v>
      </c>
      <c r="K318" t="s">
        <v>30</v>
      </c>
      <c r="L318" t="s">
        <v>31</v>
      </c>
      <c r="M318" t="s">
        <v>44</v>
      </c>
      <c r="N318">
        <v>2</v>
      </c>
      <c r="O318">
        <v>2</v>
      </c>
      <c r="P318">
        <v>1</v>
      </c>
      <c r="Q318">
        <v>448.0385409497591</v>
      </c>
      <c r="R318">
        <v>7.914659325533379</v>
      </c>
      <c r="S318">
        <v>56.60869565217392</v>
      </c>
      <c r="T318">
        <v>0</v>
      </c>
      <c r="U318">
        <v>1</v>
      </c>
      <c r="V318">
        <v>0</v>
      </c>
      <c r="W318">
        <v>7.172424577124845</v>
      </c>
      <c r="X318">
        <v>0</v>
      </c>
    </row>
    <row r="319" spans="1:24">
      <c r="A319" t="s">
        <v>996</v>
      </c>
      <c r="B319" t="s">
        <v>997</v>
      </c>
      <c r="C319" t="s">
        <v>35</v>
      </c>
      <c r="D319">
        <v>1.888</v>
      </c>
      <c r="E319">
        <v>1679</v>
      </c>
      <c r="F319">
        <v>20</v>
      </c>
      <c r="G319" t="s">
        <v>47</v>
      </c>
      <c r="H319" t="s">
        <v>998</v>
      </c>
      <c r="I319" t="s">
        <v>29</v>
      </c>
      <c r="J319" t="s">
        <v>31</v>
      </c>
      <c r="K319" t="s">
        <v>30</v>
      </c>
      <c r="L319" t="s">
        <v>31</v>
      </c>
      <c r="M319" t="s">
        <v>44</v>
      </c>
      <c r="N319">
        <v>2</v>
      </c>
      <c r="O319">
        <v>2</v>
      </c>
      <c r="P319">
        <v>1</v>
      </c>
      <c r="Q319">
        <v>889.3008474576271</v>
      </c>
      <c r="R319">
        <v>10.59322033898305</v>
      </c>
      <c r="S319">
        <v>83.95</v>
      </c>
      <c r="T319">
        <v>0</v>
      </c>
      <c r="U319">
        <v>1</v>
      </c>
      <c r="V319">
        <v>0</v>
      </c>
      <c r="W319">
        <v>7.426549072397305</v>
      </c>
      <c r="X319">
        <v>0</v>
      </c>
    </row>
    <row r="320" spans="1:24">
      <c r="A320" t="s">
        <v>999</v>
      </c>
      <c r="B320" t="s">
        <v>1000</v>
      </c>
      <c r="C320" t="s">
        <v>35</v>
      </c>
      <c r="D320">
        <v>3.35</v>
      </c>
      <c r="E320">
        <v>6091</v>
      </c>
      <c r="F320">
        <v>21</v>
      </c>
      <c r="G320" t="s">
        <v>36</v>
      </c>
      <c r="H320" t="s">
        <v>1001</v>
      </c>
      <c r="I320" t="s">
        <v>29</v>
      </c>
      <c r="J320" t="s">
        <v>38</v>
      </c>
      <c r="K320" t="s">
        <v>31</v>
      </c>
      <c r="L320" t="s">
        <v>31</v>
      </c>
      <c r="M320" t="s">
        <v>32</v>
      </c>
      <c r="N320">
        <v>2</v>
      </c>
      <c r="O320">
        <v>2</v>
      </c>
      <c r="P320">
        <v>1</v>
      </c>
      <c r="Q320">
        <v>1818.208955223881</v>
      </c>
      <c r="R320">
        <v>6.26865671641791</v>
      </c>
      <c r="S320">
        <v>290.047619047619</v>
      </c>
      <c r="T320">
        <v>0</v>
      </c>
      <c r="U320">
        <v>1</v>
      </c>
      <c r="V320">
        <v>0</v>
      </c>
      <c r="W320">
        <v>8.714731714015052</v>
      </c>
      <c r="X320">
        <v>0</v>
      </c>
    </row>
    <row r="321" spans="1:24">
      <c r="A321" t="s">
        <v>1002</v>
      </c>
      <c r="B321" t="s">
        <v>1003</v>
      </c>
      <c r="C321" t="s">
        <v>35</v>
      </c>
      <c r="D321">
        <v>2.132</v>
      </c>
      <c r="E321">
        <v>5187</v>
      </c>
      <c r="F321">
        <v>17</v>
      </c>
      <c r="G321" t="s">
        <v>62</v>
      </c>
      <c r="H321" t="s">
        <v>1004</v>
      </c>
      <c r="I321" t="s">
        <v>29</v>
      </c>
      <c r="J321" t="s">
        <v>30</v>
      </c>
      <c r="K321" t="s">
        <v>31</v>
      </c>
      <c r="L321" t="s">
        <v>31</v>
      </c>
      <c r="M321" t="s">
        <v>76</v>
      </c>
      <c r="N321">
        <v>2</v>
      </c>
      <c r="O321">
        <v>2</v>
      </c>
      <c r="P321">
        <v>1</v>
      </c>
      <c r="Q321">
        <v>2432.926829268293</v>
      </c>
      <c r="R321">
        <v>7.973733583489681</v>
      </c>
      <c r="S321">
        <v>305.1176470588235</v>
      </c>
      <c r="T321">
        <v>0</v>
      </c>
      <c r="U321">
        <v>1</v>
      </c>
      <c r="V321">
        <v>0</v>
      </c>
      <c r="W321">
        <v>8.554103545436334</v>
      </c>
      <c r="X321">
        <v>0</v>
      </c>
    </row>
    <row r="322" spans="1:24">
      <c r="A322" t="s">
        <v>1005</v>
      </c>
      <c r="B322" t="s">
        <v>1006</v>
      </c>
      <c r="C322" t="s">
        <v>35</v>
      </c>
      <c r="D322">
        <v>4.532</v>
      </c>
      <c r="E322">
        <v>1685</v>
      </c>
      <c r="F322">
        <v>14</v>
      </c>
      <c r="G322" t="s">
        <v>27</v>
      </c>
      <c r="H322" t="s">
        <v>1007</v>
      </c>
      <c r="I322" t="s">
        <v>29</v>
      </c>
      <c r="J322" t="s">
        <v>30</v>
      </c>
      <c r="K322" t="s">
        <v>31</v>
      </c>
      <c r="L322" t="s">
        <v>31</v>
      </c>
      <c r="M322" t="s">
        <v>39</v>
      </c>
      <c r="N322">
        <v>2</v>
      </c>
      <c r="O322">
        <v>2</v>
      </c>
      <c r="P322">
        <v>1</v>
      </c>
      <c r="Q322">
        <v>371.8005295675199</v>
      </c>
      <c r="R322">
        <v>3.089143865842895</v>
      </c>
      <c r="S322">
        <v>120.3571428571429</v>
      </c>
      <c r="T322">
        <v>0</v>
      </c>
      <c r="U322">
        <v>1</v>
      </c>
      <c r="V322">
        <v>0</v>
      </c>
      <c r="W322">
        <v>7.430114138561801</v>
      </c>
      <c r="X322">
        <v>0</v>
      </c>
    </row>
    <row r="323" spans="1:24">
      <c r="A323" t="s">
        <v>1008</v>
      </c>
      <c r="B323" t="s">
        <v>1009</v>
      </c>
      <c r="C323" t="s">
        <v>35</v>
      </c>
      <c r="D323">
        <v>3.999</v>
      </c>
      <c r="E323">
        <v>5150</v>
      </c>
      <c r="F323">
        <v>14</v>
      </c>
      <c r="G323" t="s">
        <v>36</v>
      </c>
      <c r="H323" t="s">
        <v>1010</v>
      </c>
      <c r="I323" t="s">
        <v>29</v>
      </c>
      <c r="J323" t="s">
        <v>38</v>
      </c>
      <c r="K323" t="s">
        <v>30</v>
      </c>
      <c r="L323" t="s">
        <v>30</v>
      </c>
      <c r="M323" t="s">
        <v>44</v>
      </c>
      <c r="N323">
        <v>2</v>
      </c>
      <c r="O323">
        <v>2</v>
      </c>
      <c r="P323">
        <v>1</v>
      </c>
      <c r="Q323">
        <v>1287.821955488872</v>
      </c>
      <c r="R323">
        <v>3.500875218804701</v>
      </c>
      <c r="S323">
        <v>367.8571428571428</v>
      </c>
      <c r="T323">
        <v>0</v>
      </c>
      <c r="U323">
        <v>1</v>
      </c>
      <c r="V323">
        <v>0</v>
      </c>
      <c r="W323">
        <v>8.546946149565585</v>
      </c>
      <c r="X323">
        <v>0</v>
      </c>
    </row>
    <row r="324" spans="1:24">
      <c r="A324" t="s">
        <v>1011</v>
      </c>
      <c r="B324" t="s">
        <v>1012</v>
      </c>
      <c r="C324" t="s">
        <v>26</v>
      </c>
      <c r="D324">
        <v>7.488</v>
      </c>
      <c r="E324">
        <v>739</v>
      </c>
      <c r="F324">
        <v>13</v>
      </c>
      <c r="G324" t="s">
        <v>47</v>
      </c>
      <c r="H324" t="s">
        <v>1013</v>
      </c>
      <c r="I324" t="s">
        <v>29</v>
      </c>
      <c r="J324" t="s">
        <v>31</v>
      </c>
      <c r="K324" t="s">
        <v>31</v>
      </c>
      <c r="L324" t="s">
        <v>31</v>
      </c>
      <c r="M324" t="s">
        <v>97</v>
      </c>
      <c r="N324">
        <v>2</v>
      </c>
      <c r="O324">
        <v>2</v>
      </c>
      <c r="P324">
        <v>1</v>
      </c>
      <c r="Q324">
        <v>98.6912393162393</v>
      </c>
      <c r="R324">
        <v>1.736111111111111</v>
      </c>
      <c r="S324">
        <v>56.84615384615385</v>
      </c>
      <c r="T324">
        <v>0</v>
      </c>
      <c r="U324">
        <v>1</v>
      </c>
      <c r="V324">
        <v>0</v>
      </c>
      <c r="W324">
        <v>6.606650186198215</v>
      </c>
      <c r="X324">
        <v>0</v>
      </c>
    </row>
    <row r="325" spans="1:24">
      <c r="A325" t="s">
        <v>1014</v>
      </c>
      <c r="B325" t="s">
        <v>1015</v>
      </c>
      <c r="C325" t="s">
        <v>130</v>
      </c>
      <c r="D325">
        <v>6.577</v>
      </c>
      <c r="E325">
        <v>1619</v>
      </c>
      <c r="F325">
        <v>17</v>
      </c>
      <c r="G325" t="s">
        <v>27</v>
      </c>
      <c r="H325" t="s">
        <v>1016</v>
      </c>
      <c r="I325" t="s">
        <v>29</v>
      </c>
      <c r="J325" t="s">
        <v>30</v>
      </c>
      <c r="K325" t="s">
        <v>31</v>
      </c>
      <c r="L325" t="s">
        <v>31</v>
      </c>
      <c r="M325" t="s">
        <v>39</v>
      </c>
      <c r="N325">
        <v>2</v>
      </c>
      <c r="O325">
        <v>2</v>
      </c>
      <c r="P325">
        <v>1</v>
      </c>
      <c r="Q325">
        <v>246.1608636156302</v>
      </c>
      <c r="R325">
        <v>2.584765090466778</v>
      </c>
      <c r="S325">
        <v>95.23529411764706</v>
      </c>
      <c r="T325">
        <v>0</v>
      </c>
      <c r="U325">
        <v>1</v>
      </c>
      <c r="V325">
        <v>0</v>
      </c>
      <c r="W325">
        <v>7.390181428226429</v>
      </c>
      <c r="X325">
        <v>0</v>
      </c>
    </row>
    <row r="326" spans="1:24">
      <c r="A326" t="s">
        <v>1017</v>
      </c>
      <c r="B326" t="s">
        <v>1018</v>
      </c>
      <c r="C326" t="s">
        <v>52</v>
      </c>
      <c r="D326">
        <v>0.181</v>
      </c>
      <c r="E326">
        <v>311</v>
      </c>
      <c r="F326">
        <v>11</v>
      </c>
      <c r="G326" t="s">
        <v>47</v>
      </c>
      <c r="H326" t="s">
        <v>1019</v>
      </c>
      <c r="I326" t="s">
        <v>29</v>
      </c>
      <c r="J326" t="s">
        <v>31</v>
      </c>
      <c r="K326" t="s">
        <v>30</v>
      </c>
      <c r="L326" t="s">
        <v>31</v>
      </c>
      <c r="M326" t="s">
        <v>44</v>
      </c>
      <c r="N326">
        <v>3</v>
      </c>
      <c r="O326">
        <v>2</v>
      </c>
      <c r="P326">
        <v>1</v>
      </c>
      <c r="Q326">
        <v>1718.232044198895</v>
      </c>
      <c r="R326">
        <v>60.77348066298342</v>
      </c>
      <c r="S326">
        <v>28.27272727272728</v>
      </c>
      <c r="T326">
        <v>0</v>
      </c>
      <c r="U326">
        <v>1</v>
      </c>
      <c r="V326">
        <v>0</v>
      </c>
      <c r="W326">
        <v>5.743003187809482</v>
      </c>
      <c r="X326">
        <v>0</v>
      </c>
    </row>
    <row r="327" spans="1:24">
      <c r="A327" t="s">
        <v>1020</v>
      </c>
      <c r="B327" t="s">
        <v>1021</v>
      </c>
      <c r="C327" t="s">
        <v>26</v>
      </c>
      <c r="D327">
        <v>2.192</v>
      </c>
      <c r="E327">
        <v>4100</v>
      </c>
      <c r="F327">
        <v>16</v>
      </c>
      <c r="G327" t="s">
        <v>36</v>
      </c>
      <c r="H327" t="s">
        <v>1022</v>
      </c>
      <c r="I327" t="s">
        <v>29</v>
      </c>
      <c r="J327" t="s">
        <v>38</v>
      </c>
      <c r="K327" t="s">
        <v>30</v>
      </c>
      <c r="L327" t="s">
        <v>30</v>
      </c>
      <c r="M327" t="s">
        <v>44</v>
      </c>
      <c r="N327">
        <v>3</v>
      </c>
      <c r="O327">
        <v>2</v>
      </c>
      <c r="P327">
        <v>1</v>
      </c>
      <c r="Q327">
        <v>1870.43795620438</v>
      </c>
      <c r="R327">
        <v>7.2992700729927</v>
      </c>
      <c r="S327">
        <v>256.25</v>
      </c>
      <c r="T327">
        <v>0</v>
      </c>
      <c r="U327">
        <v>1</v>
      </c>
      <c r="V327">
        <v>0</v>
      </c>
      <c r="W327">
        <v>8.31898612539206</v>
      </c>
      <c r="X327">
        <v>0</v>
      </c>
    </row>
    <row r="328" spans="1:24">
      <c r="A328" t="s">
        <v>1023</v>
      </c>
      <c r="B328" t="s">
        <v>1024</v>
      </c>
      <c r="C328" t="s">
        <v>52</v>
      </c>
      <c r="D328">
        <v>5.672</v>
      </c>
      <c r="E328">
        <v>3841</v>
      </c>
      <c r="F328">
        <v>26</v>
      </c>
      <c r="G328" t="s">
        <v>62</v>
      </c>
      <c r="H328" t="s">
        <v>1025</v>
      </c>
      <c r="I328" t="s">
        <v>29</v>
      </c>
      <c r="J328" t="s">
        <v>30</v>
      </c>
      <c r="K328" t="s">
        <v>30</v>
      </c>
      <c r="L328" t="s">
        <v>30</v>
      </c>
      <c r="M328" t="s">
        <v>97</v>
      </c>
      <c r="N328">
        <v>3</v>
      </c>
      <c r="O328">
        <v>2</v>
      </c>
      <c r="P328">
        <v>1</v>
      </c>
      <c r="Q328">
        <v>677.1861777150917</v>
      </c>
      <c r="R328">
        <v>4.58392101551481</v>
      </c>
      <c r="S328">
        <v>147.7307692307692</v>
      </c>
      <c r="T328">
        <v>0</v>
      </c>
      <c r="U328">
        <v>1</v>
      </c>
      <c r="V328">
        <v>0</v>
      </c>
      <c r="W328">
        <v>8.253748343328501</v>
      </c>
      <c r="X328">
        <v>0</v>
      </c>
    </row>
    <row r="329" spans="1:24">
      <c r="A329" t="s">
        <v>1026</v>
      </c>
      <c r="B329" t="s">
        <v>1027</v>
      </c>
      <c r="C329" t="s">
        <v>35</v>
      </c>
      <c r="D329">
        <v>3.672</v>
      </c>
      <c r="E329">
        <v>1416</v>
      </c>
      <c r="F329">
        <v>18</v>
      </c>
      <c r="G329" t="s">
        <v>47</v>
      </c>
      <c r="H329" t="s">
        <v>1028</v>
      </c>
      <c r="I329" t="s">
        <v>29</v>
      </c>
      <c r="J329" t="s">
        <v>31</v>
      </c>
      <c r="K329" t="s">
        <v>30</v>
      </c>
      <c r="L329" t="s">
        <v>31</v>
      </c>
      <c r="M329" t="s">
        <v>83</v>
      </c>
      <c r="N329">
        <v>3</v>
      </c>
      <c r="O329">
        <v>2</v>
      </c>
      <c r="P329">
        <v>1</v>
      </c>
      <c r="Q329">
        <v>385.6209150326797</v>
      </c>
      <c r="R329">
        <v>4.901960784313725</v>
      </c>
      <c r="S329">
        <v>78.66666666666667</v>
      </c>
      <c r="T329">
        <v>0</v>
      </c>
      <c r="U329">
        <v>1</v>
      </c>
      <c r="V329">
        <v>0</v>
      </c>
      <c r="W329">
        <v>7.256297239690681</v>
      </c>
      <c r="X329">
        <v>0</v>
      </c>
    </row>
    <row r="330" spans="1:24">
      <c r="A330" t="s">
        <v>1029</v>
      </c>
      <c r="B330" t="s">
        <v>1030</v>
      </c>
      <c r="C330" t="s">
        <v>26</v>
      </c>
      <c r="D330">
        <v>6.108</v>
      </c>
      <c r="E330">
        <v>8133</v>
      </c>
      <c r="F330">
        <v>17</v>
      </c>
      <c r="G330" t="s">
        <v>47</v>
      </c>
      <c r="H330" t="s">
        <v>1031</v>
      </c>
      <c r="I330" t="s">
        <v>29</v>
      </c>
      <c r="J330" t="s">
        <v>31</v>
      </c>
      <c r="K330" t="s">
        <v>30</v>
      </c>
      <c r="L330" t="s">
        <v>31</v>
      </c>
      <c r="M330" t="s">
        <v>76</v>
      </c>
      <c r="N330">
        <v>3</v>
      </c>
      <c r="O330">
        <v>2</v>
      </c>
      <c r="P330">
        <v>1</v>
      </c>
      <c r="Q330">
        <v>1331.532416502947</v>
      </c>
      <c r="R330">
        <v>2.783235101506222</v>
      </c>
      <c r="S330">
        <v>478.4117647058824</v>
      </c>
      <c r="T330">
        <v>0</v>
      </c>
      <c r="U330">
        <v>1</v>
      </c>
      <c r="V330">
        <v>0</v>
      </c>
      <c r="W330">
        <v>9.003808086467171</v>
      </c>
      <c r="X330">
        <v>0</v>
      </c>
    </row>
    <row r="331" spans="1:24">
      <c r="A331" t="s">
        <v>1032</v>
      </c>
      <c r="B331" t="s">
        <v>1033</v>
      </c>
      <c r="C331" t="s">
        <v>52</v>
      </c>
      <c r="D331">
        <v>5.754</v>
      </c>
      <c r="E331">
        <v>61822</v>
      </c>
      <c r="F331">
        <v>84</v>
      </c>
      <c r="G331" t="s">
        <v>36</v>
      </c>
      <c r="H331" t="s">
        <v>1034</v>
      </c>
      <c r="I331" t="s">
        <v>49</v>
      </c>
      <c r="J331" t="s">
        <v>38</v>
      </c>
      <c r="K331" t="s">
        <v>31</v>
      </c>
      <c r="L331" t="s">
        <v>31</v>
      </c>
      <c r="M331" t="s">
        <v>32</v>
      </c>
      <c r="N331">
        <v>3</v>
      </c>
      <c r="O331">
        <v>2</v>
      </c>
      <c r="P331">
        <v>1</v>
      </c>
      <c r="Q331">
        <v>10744.17796315607</v>
      </c>
      <c r="R331">
        <v>14.5985401459854</v>
      </c>
      <c r="S331">
        <v>735.9761904761905</v>
      </c>
      <c r="T331">
        <v>0</v>
      </c>
      <c r="U331">
        <v>1</v>
      </c>
      <c r="V331">
        <v>1</v>
      </c>
      <c r="W331">
        <v>11.03203074249313</v>
      </c>
      <c r="X331">
        <v>1</v>
      </c>
    </row>
    <row r="332" spans="1:24">
      <c r="A332" t="s">
        <v>1035</v>
      </c>
      <c r="B332" t="s">
        <v>1036</v>
      </c>
      <c r="C332" t="s">
        <v>35</v>
      </c>
      <c r="D332">
        <v>1.293</v>
      </c>
      <c r="E332">
        <v>3101</v>
      </c>
      <c r="F332">
        <v>14</v>
      </c>
      <c r="G332" t="s">
        <v>27</v>
      </c>
      <c r="H332" t="s">
        <v>1037</v>
      </c>
      <c r="I332" t="s">
        <v>29</v>
      </c>
      <c r="J332" t="s">
        <v>30</v>
      </c>
      <c r="K332" t="s">
        <v>31</v>
      </c>
      <c r="L332" t="s">
        <v>30</v>
      </c>
      <c r="M332" t="s">
        <v>44</v>
      </c>
      <c r="N332">
        <v>3</v>
      </c>
      <c r="O332">
        <v>2</v>
      </c>
      <c r="P332">
        <v>1</v>
      </c>
      <c r="Q332">
        <v>2398.29853054911</v>
      </c>
      <c r="R332">
        <v>10.82753286929621</v>
      </c>
      <c r="S332">
        <v>221.5</v>
      </c>
      <c r="T332">
        <v>0</v>
      </c>
      <c r="U332">
        <v>1</v>
      </c>
      <c r="V332">
        <v>0</v>
      </c>
      <c r="W332">
        <v>8.039802343736485</v>
      </c>
      <c r="X332">
        <v>0</v>
      </c>
    </row>
    <row r="333" spans="1:24">
      <c r="A333" t="s">
        <v>1038</v>
      </c>
      <c r="B333" t="s">
        <v>1039</v>
      </c>
      <c r="C333" t="s">
        <v>26</v>
      </c>
      <c r="D333">
        <v>1.298</v>
      </c>
      <c r="E333">
        <v>1235</v>
      </c>
      <c r="F333">
        <v>13</v>
      </c>
      <c r="G333" t="s">
        <v>47</v>
      </c>
      <c r="H333" t="s">
        <v>1040</v>
      </c>
      <c r="I333" t="s">
        <v>29</v>
      </c>
      <c r="J333" t="s">
        <v>31</v>
      </c>
      <c r="K333" t="s">
        <v>30</v>
      </c>
      <c r="L333" t="s">
        <v>30</v>
      </c>
      <c r="M333" t="s">
        <v>83</v>
      </c>
      <c r="N333">
        <v>3</v>
      </c>
      <c r="O333">
        <v>2</v>
      </c>
      <c r="P333">
        <v>1</v>
      </c>
      <c r="Q333">
        <v>951.4637904468412</v>
      </c>
      <c r="R333">
        <v>10.01540832049307</v>
      </c>
      <c r="S333">
        <v>95</v>
      </c>
      <c r="T333">
        <v>0</v>
      </c>
      <c r="U333">
        <v>1</v>
      </c>
      <c r="V333">
        <v>0</v>
      </c>
      <c r="W333">
        <v>7.119635638017636</v>
      </c>
      <c r="X333">
        <v>0</v>
      </c>
    </row>
    <row r="334" spans="1:24">
      <c r="A334" t="s">
        <v>1041</v>
      </c>
      <c r="B334" t="s">
        <v>1042</v>
      </c>
      <c r="C334" t="s">
        <v>35</v>
      </c>
      <c r="D334">
        <v>6.845</v>
      </c>
      <c r="E334">
        <v>6838</v>
      </c>
      <c r="F334">
        <v>23</v>
      </c>
      <c r="G334" t="s">
        <v>36</v>
      </c>
      <c r="H334" t="s">
        <v>1043</v>
      </c>
      <c r="I334" t="s">
        <v>29</v>
      </c>
      <c r="J334" t="s">
        <v>38</v>
      </c>
      <c r="K334" t="s">
        <v>31</v>
      </c>
      <c r="L334" t="s">
        <v>30</v>
      </c>
      <c r="M334" t="s">
        <v>44</v>
      </c>
      <c r="N334">
        <v>3</v>
      </c>
      <c r="O334">
        <v>2</v>
      </c>
      <c r="P334">
        <v>1</v>
      </c>
      <c r="Q334">
        <v>998.9773557341124</v>
      </c>
      <c r="R334">
        <v>3.360116873630387</v>
      </c>
      <c r="S334">
        <v>297.3043478260869</v>
      </c>
      <c r="T334">
        <v>0</v>
      </c>
      <c r="U334">
        <v>1</v>
      </c>
      <c r="V334">
        <v>0</v>
      </c>
      <c r="W334">
        <v>8.830396801098097</v>
      </c>
      <c r="X334">
        <v>0</v>
      </c>
    </row>
    <row r="335" spans="1:24">
      <c r="A335" t="s">
        <v>1044</v>
      </c>
      <c r="B335" t="s">
        <v>1045</v>
      </c>
      <c r="C335" t="s">
        <v>35</v>
      </c>
      <c r="D335">
        <v>3.669</v>
      </c>
      <c r="E335">
        <v>5608</v>
      </c>
      <c r="F335">
        <v>19</v>
      </c>
      <c r="G335" t="s">
        <v>62</v>
      </c>
      <c r="H335" t="s">
        <v>1046</v>
      </c>
      <c r="I335" t="s">
        <v>29</v>
      </c>
      <c r="J335" t="s">
        <v>30</v>
      </c>
      <c r="K335" t="s">
        <v>38</v>
      </c>
      <c r="L335" t="s">
        <v>30</v>
      </c>
      <c r="M335" t="s">
        <v>44</v>
      </c>
      <c r="N335">
        <v>3</v>
      </c>
      <c r="O335">
        <v>2</v>
      </c>
      <c r="P335">
        <v>1</v>
      </c>
      <c r="Q335">
        <v>1528.481875170346</v>
      </c>
      <c r="R335">
        <v>5.178522758244753</v>
      </c>
      <c r="S335">
        <v>295.1578947368421</v>
      </c>
      <c r="T335">
        <v>0</v>
      </c>
      <c r="U335">
        <v>1</v>
      </c>
      <c r="V335">
        <v>0</v>
      </c>
      <c r="W335">
        <v>8.632127729508337</v>
      </c>
      <c r="X335">
        <v>0</v>
      </c>
    </row>
    <row r="336" spans="1:24">
      <c r="A336" t="s">
        <v>1047</v>
      </c>
      <c r="B336" t="s">
        <v>1048</v>
      </c>
      <c r="C336" t="s">
        <v>26</v>
      </c>
      <c r="D336">
        <v>4.152</v>
      </c>
      <c r="E336">
        <v>351</v>
      </c>
      <c r="F336">
        <v>10</v>
      </c>
      <c r="G336" t="s">
        <v>62</v>
      </c>
      <c r="H336" t="s">
        <v>1049</v>
      </c>
      <c r="I336" t="s">
        <v>29</v>
      </c>
      <c r="J336" t="s">
        <v>30</v>
      </c>
      <c r="K336" t="s">
        <v>30</v>
      </c>
      <c r="L336" t="s">
        <v>30</v>
      </c>
      <c r="M336" t="s">
        <v>44</v>
      </c>
      <c r="N336">
        <v>3</v>
      </c>
      <c r="O336">
        <v>2</v>
      </c>
      <c r="P336">
        <v>1</v>
      </c>
      <c r="Q336">
        <v>84.53757225433526</v>
      </c>
      <c r="R336">
        <v>2.408477842003853</v>
      </c>
      <c r="S336">
        <v>35.1</v>
      </c>
      <c r="T336">
        <v>0</v>
      </c>
      <c r="U336">
        <v>1</v>
      </c>
      <c r="V336">
        <v>0</v>
      </c>
      <c r="W336">
        <v>5.863631175598097</v>
      </c>
      <c r="X336">
        <v>0</v>
      </c>
    </row>
    <row r="337" spans="1:24">
      <c r="A337" t="s">
        <v>1050</v>
      </c>
      <c r="B337" t="s">
        <v>1051</v>
      </c>
      <c r="C337" t="s">
        <v>35</v>
      </c>
      <c r="D337">
        <v>3.435</v>
      </c>
      <c r="E337">
        <v>3623</v>
      </c>
      <c r="F337">
        <v>22</v>
      </c>
      <c r="G337" t="s">
        <v>36</v>
      </c>
      <c r="H337" t="s">
        <v>1052</v>
      </c>
      <c r="I337" t="s">
        <v>29</v>
      </c>
      <c r="J337" t="s">
        <v>38</v>
      </c>
      <c r="K337" t="s">
        <v>30</v>
      </c>
      <c r="L337" t="s">
        <v>31</v>
      </c>
      <c r="M337" t="s">
        <v>97</v>
      </c>
      <c r="N337">
        <v>3</v>
      </c>
      <c r="O337">
        <v>2</v>
      </c>
      <c r="P337">
        <v>1</v>
      </c>
      <c r="Q337">
        <v>1054.730713245997</v>
      </c>
      <c r="R337">
        <v>6.404657933042213</v>
      </c>
      <c r="S337">
        <v>164.6818181818182</v>
      </c>
      <c r="T337">
        <v>0</v>
      </c>
      <c r="U337">
        <v>1</v>
      </c>
      <c r="V337">
        <v>0</v>
      </c>
      <c r="W337">
        <v>8.19533366716287</v>
      </c>
      <c r="X337">
        <v>0</v>
      </c>
    </row>
    <row r="338" spans="1:24">
      <c r="A338" t="s">
        <v>1053</v>
      </c>
      <c r="B338" t="s">
        <v>1054</v>
      </c>
      <c r="C338" t="s">
        <v>35</v>
      </c>
      <c r="D338">
        <v>4.83</v>
      </c>
      <c r="E338">
        <v>1205</v>
      </c>
      <c r="F338">
        <v>17</v>
      </c>
      <c r="G338" t="s">
        <v>36</v>
      </c>
      <c r="H338" t="s">
        <v>1055</v>
      </c>
      <c r="I338" t="s">
        <v>29</v>
      </c>
      <c r="J338" t="s">
        <v>38</v>
      </c>
      <c r="K338" t="s">
        <v>30</v>
      </c>
      <c r="L338" t="s">
        <v>31</v>
      </c>
      <c r="M338" t="s">
        <v>44</v>
      </c>
      <c r="N338">
        <v>4</v>
      </c>
      <c r="O338">
        <v>2</v>
      </c>
      <c r="P338">
        <v>0</v>
      </c>
      <c r="Q338">
        <v>249.4824016563147</v>
      </c>
      <c r="R338">
        <v>3.519668737060041</v>
      </c>
      <c r="S338">
        <v>70.88235294117646</v>
      </c>
      <c r="T338">
        <v>0</v>
      </c>
      <c r="U338">
        <v>1</v>
      </c>
      <c r="V338">
        <v>0</v>
      </c>
      <c r="W338">
        <v>7.095064377287131</v>
      </c>
      <c r="X338">
        <v>0</v>
      </c>
    </row>
    <row r="339" spans="1:24">
      <c r="A339" t="s">
        <v>1056</v>
      </c>
      <c r="B339" t="s">
        <v>1057</v>
      </c>
      <c r="C339" t="s">
        <v>130</v>
      </c>
      <c r="D339">
        <v>8.212</v>
      </c>
      <c r="E339">
        <v>11666</v>
      </c>
      <c r="F339">
        <v>22</v>
      </c>
      <c r="G339" t="s">
        <v>62</v>
      </c>
      <c r="H339" t="s">
        <v>1058</v>
      </c>
      <c r="I339" t="s">
        <v>29</v>
      </c>
      <c r="J339" t="s">
        <v>30</v>
      </c>
      <c r="K339" t="s">
        <v>30</v>
      </c>
      <c r="L339" t="s">
        <v>31</v>
      </c>
      <c r="M339" t="s">
        <v>97</v>
      </c>
      <c r="N339">
        <v>4</v>
      </c>
      <c r="O339">
        <v>2</v>
      </c>
      <c r="P339">
        <v>0</v>
      </c>
      <c r="Q339">
        <v>1420.603994154895</v>
      </c>
      <c r="R339">
        <v>2.679006332196785</v>
      </c>
      <c r="S339">
        <v>530.2727272727273</v>
      </c>
      <c r="T339">
        <v>0</v>
      </c>
      <c r="U339">
        <v>1</v>
      </c>
      <c r="V339">
        <v>1</v>
      </c>
      <c r="W339">
        <v>9.364519622823858</v>
      </c>
      <c r="X339">
        <v>0</v>
      </c>
    </row>
    <row r="340" spans="1:24">
      <c r="A340" t="s">
        <v>1059</v>
      </c>
      <c r="B340" t="s">
        <v>1060</v>
      </c>
      <c r="C340" t="s">
        <v>35</v>
      </c>
      <c r="D340">
        <v>2.548</v>
      </c>
      <c r="E340">
        <v>1472</v>
      </c>
      <c r="F340">
        <v>23</v>
      </c>
      <c r="G340" t="s">
        <v>36</v>
      </c>
      <c r="H340" t="s">
        <v>1061</v>
      </c>
      <c r="I340" t="s">
        <v>29</v>
      </c>
      <c r="J340" t="s">
        <v>38</v>
      </c>
      <c r="K340" t="s">
        <v>30</v>
      </c>
      <c r="L340" t="s">
        <v>38</v>
      </c>
      <c r="M340" t="s">
        <v>76</v>
      </c>
      <c r="N340">
        <v>4</v>
      </c>
      <c r="O340">
        <v>2</v>
      </c>
      <c r="P340">
        <v>0</v>
      </c>
      <c r="Q340">
        <v>577.7080062794348</v>
      </c>
      <c r="R340">
        <v>9.026687598116167</v>
      </c>
      <c r="S340">
        <v>64</v>
      </c>
      <c r="T340">
        <v>0</v>
      </c>
      <c r="U340">
        <v>1</v>
      </c>
      <c r="V340">
        <v>0</v>
      </c>
      <c r="W340">
        <v>7.29505641646263</v>
      </c>
      <c r="X340">
        <v>0</v>
      </c>
    </row>
    <row r="341" spans="1:24">
      <c r="A341" t="s">
        <v>1062</v>
      </c>
      <c r="B341" t="s">
        <v>1063</v>
      </c>
      <c r="C341" t="s">
        <v>26</v>
      </c>
      <c r="D341">
        <v>3.023</v>
      </c>
      <c r="E341">
        <v>2695</v>
      </c>
      <c r="F341">
        <v>15</v>
      </c>
      <c r="G341" t="s">
        <v>47</v>
      </c>
      <c r="H341" t="s">
        <v>1064</v>
      </c>
      <c r="I341" t="s">
        <v>29</v>
      </c>
      <c r="J341" t="s">
        <v>31</v>
      </c>
      <c r="K341" t="s">
        <v>31</v>
      </c>
      <c r="L341" t="s">
        <v>30</v>
      </c>
      <c r="M341" t="s">
        <v>97</v>
      </c>
      <c r="N341">
        <v>4</v>
      </c>
      <c r="O341">
        <v>2</v>
      </c>
      <c r="P341">
        <v>0</v>
      </c>
      <c r="Q341">
        <v>891.4985114125041</v>
      </c>
      <c r="R341">
        <v>4.961958319550115</v>
      </c>
      <c r="S341">
        <v>179.6666666666667</v>
      </c>
      <c r="T341">
        <v>0</v>
      </c>
      <c r="U341">
        <v>1</v>
      </c>
      <c r="V341">
        <v>0</v>
      </c>
      <c r="W341">
        <v>7.899524472032198</v>
      </c>
      <c r="X341">
        <v>0</v>
      </c>
    </row>
    <row r="342" spans="1:24">
      <c r="A342" t="s">
        <v>1065</v>
      </c>
      <c r="B342" t="s">
        <v>1066</v>
      </c>
      <c r="C342" t="s">
        <v>26</v>
      </c>
      <c r="D342">
        <v>3.537</v>
      </c>
      <c r="E342">
        <v>1866</v>
      </c>
      <c r="F342">
        <v>14</v>
      </c>
      <c r="G342" t="s">
        <v>36</v>
      </c>
      <c r="H342" t="s">
        <v>1067</v>
      </c>
      <c r="I342" t="s">
        <v>43</v>
      </c>
      <c r="J342" t="s">
        <v>38</v>
      </c>
      <c r="K342" t="s">
        <v>30</v>
      </c>
      <c r="L342" t="s">
        <v>30</v>
      </c>
      <c r="M342" t="s">
        <v>97</v>
      </c>
      <c r="N342">
        <v>4</v>
      </c>
      <c r="O342">
        <v>2</v>
      </c>
      <c r="P342">
        <v>0</v>
      </c>
      <c r="Q342">
        <v>527.5657336726039</v>
      </c>
      <c r="R342">
        <v>3.958156629912355</v>
      </c>
      <c r="S342">
        <v>133.2857142857143</v>
      </c>
      <c r="T342">
        <v>0</v>
      </c>
      <c r="U342">
        <v>1</v>
      </c>
      <c r="V342">
        <v>0</v>
      </c>
      <c r="W342">
        <v>7.532088143541722</v>
      </c>
      <c r="X342">
        <v>1</v>
      </c>
    </row>
    <row r="343" spans="1:24">
      <c r="A343" t="s">
        <v>1068</v>
      </c>
      <c r="B343" t="s">
        <v>1069</v>
      </c>
      <c r="C343" t="s">
        <v>26</v>
      </c>
      <c r="D343">
        <v>3.562</v>
      </c>
      <c r="E343">
        <v>2139</v>
      </c>
      <c r="F343">
        <v>20</v>
      </c>
      <c r="G343" t="s">
        <v>62</v>
      </c>
      <c r="H343" t="s">
        <v>1070</v>
      </c>
      <c r="I343" t="s">
        <v>29</v>
      </c>
      <c r="J343" t="s">
        <v>30</v>
      </c>
      <c r="K343" t="s">
        <v>30</v>
      </c>
      <c r="L343" t="s">
        <v>30</v>
      </c>
      <c r="M343" t="s">
        <v>39</v>
      </c>
      <c r="N343">
        <v>4</v>
      </c>
      <c r="O343">
        <v>2</v>
      </c>
      <c r="P343">
        <v>0</v>
      </c>
      <c r="Q343">
        <v>600.5053340819765</v>
      </c>
      <c r="R343">
        <v>5.614823133071308</v>
      </c>
      <c r="S343">
        <v>106.95</v>
      </c>
      <c r="T343">
        <v>0</v>
      </c>
      <c r="U343">
        <v>1</v>
      </c>
      <c r="V343">
        <v>0</v>
      </c>
      <c r="W343">
        <v>7.668561108015897</v>
      </c>
      <c r="X343">
        <v>0</v>
      </c>
    </row>
    <row r="344" spans="1:24">
      <c r="A344" t="s">
        <v>1071</v>
      </c>
      <c r="B344" t="s">
        <v>1072</v>
      </c>
      <c r="C344" t="s">
        <v>26</v>
      </c>
      <c r="D344">
        <v>4.743</v>
      </c>
      <c r="E344">
        <v>7799</v>
      </c>
      <c r="F344">
        <v>23</v>
      </c>
      <c r="G344" t="s">
        <v>62</v>
      </c>
      <c r="H344" t="s">
        <v>1073</v>
      </c>
      <c r="I344" t="s">
        <v>29</v>
      </c>
      <c r="J344" t="s">
        <v>30</v>
      </c>
      <c r="K344" t="s">
        <v>31</v>
      </c>
      <c r="L344" t="s">
        <v>30</v>
      </c>
      <c r="M344" t="s">
        <v>97</v>
      </c>
      <c r="N344">
        <v>4</v>
      </c>
      <c r="O344">
        <v>2</v>
      </c>
      <c r="P344">
        <v>0</v>
      </c>
      <c r="Q344">
        <v>1644.317942230655</v>
      </c>
      <c r="R344">
        <v>4.849251528568416</v>
      </c>
      <c r="S344">
        <v>339.0869565217391</v>
      </c>
      <c r="T344">
        <v>0</v>
      </c>
      <c r="U344">
        <v>1</v>
      </c>
      <c r="V344">
        <v>0</v>
      </c>
      <c r="W344">
        <v>8.961879012677683</v>
      </c>
      <c r="X344">
        <v>0</v>
      </c>
    </row>
    <row r="345" spans="1:24">
      <c r="A345" t="s">
        <v>1074</v>
      </c>
      <c r="B345" t="s">
        <v>1075</v>
      </c>
      <c r="C345" t="s">
        <v>35</v>
      </c>
      <c r="D345">
        <v>2.845</v>
      </c>
      <c r="E345">
        <v>1064</v>
      </c>
      <c r="F345">
        <v>17</v>
      </c>
      <c r="G345" t="s">
        <v>62</v>
      </c>
      <c r="H345" t="s">
        <v>1076</v>
      </c>
      <c r="I345" t="s">
        <v>29</v>
      </c>
      <c r="J345" t="s">
        <v>30</v>
      </c>
      <c r="K345" t="s">
        <v>31</v>
      </c>
      <c r="L345" t="s">
        <v>31</v>
      </c>
      <c r="M345" t="s">
        <v>76</v>
      </c>
      <c r="N345">
        <v>4</v>
      </c>
      <c r="O345">
        <v>2</v>
      </c>
      <c r="P345">
        <v>0</v>
      </c>
      <c r="Q345">
        <v>373.9894551845342</v>
      </c>
      <c r="R345">
        <v>5.975395430579964</v>
      </c>
      <c r="S345">
        <v>62.58823529411764</v>
      </c>
      <c r="T345">
        <v>0</v>
      </c>
      <c r="U345">
        <v>1</v>
      </c>
      <c r="V345">
        <v>0</v>
      </c>
      <c r="W345">
        <v>6.970730078143525</v>
      </c>
      <c r="X345">
        <v>0</v>
      </c>
    </row>
    <row r="346" spans="1:24">
      <c r="A346" t="s">
        <v>1077</v>
      </c>
      <c r="B346" t="s">
        <v>1078</v>
      </c>
      <c r="C346" t="s">
        <v>26</v>
      </c>
      <c r="D346">
        <v>1.302</v>
      </c>
      <c r="E346">
        <v>1828</v>
      </c>
      <c r="F346">
        <v>20</v>
      </c>
      <c r="G346" t="s">
        <v>62</v>
      </c>
      <c r="H346" t="s">
        <v>1079</v>
      </c>
      <c r="I346" t="s">
        <v>29</v>
      </c>
      <c r="J346" t="s">
        <v>30</v>
      </c>
      <c r="K346" t="s">
        <v>31</v>
      </c>
      <c r="L346" t="s">
        <v>30</v>
      </c>
      <c r="M346" t="s">
        <v>39</v>
      </c>
      <c r="N346">
        <v>4</v>
      </c>
      <c r="O346">
        <v>2</v>
      </c>
      <c r="P346">
        <v>0</v>
      </c>
      <c r="Q346">
        <v>1403.993855606759</v>
      </c>
      <c r="R346">
        <v>15.36098310291859</v>
      </c>
      <c r="S346">
        <v>91.40000000000001</v>
      </c>
      <c r="T346">
        <v>0</v>
      </c>
      <c r="U346">
        <v>1</v>
      </c>
      <c r="V346">
        <v>0</v>
      </c>
      <c r="W346">
        <v>7.511524648390866</v>
      </c>
      <c r="X346">
        <v>0</v>
      </c>
    </row>
    <row r="347" spans="1:24">
      <c r="A347" t="s">
        <v>1080</v>
      </c>
      <c r="B347" t="s">
        <v>1081</v>
      </c>
      <c r="C347" t="s">
        <v>35</v>
      </c>
      <c r="D347">
        <v>4.009</v>
      </c>
      <c r="E347">
        <v>4559</v>
      </c>
      <c r="F347">
        <v>18</v>
      </c>
      <c r="G347" t="s">
        <v>27</v>
      </c>
      <c r="H347" t="s">
        <v>1082</v>
      </c>
      <c r="I347" t="s">
        <v>29</v>
      </c>
      <c r="J347" t="s">
        <v>30</v>
      </c>
      <c r="K347" t="s">
        <v>31</v>
      </c>
      <c r="L347" t="s">
        <v>31</v>
      </c>
      <c r="M347" t="s">
        <v>97</v>
      </c>
      <c r="N347">
        <v>4</v>
      </c>
      <c r="O347">
        <v>2</v>
      </c>
      <c r="P347">
        <v>0</v>
      </c>
      <c r="Q347">
        <v>1137.191319531055</v>
      </c>
      <c r="R347">
        <v>4.489897730107258</v>
      </c>
      <c r="S347">
        <v>253.2777777777778</v>
      </c>
      <c r="T347">
        <v>0</v>
      </c>
      <c r="U347">
        <v>1</v>
      </c>
      <c r="V347">
        <v>0</v>
      </c>
      <c r="W347">
        <v>8.425077902508432</v>
      </c>
      <c r="X347">
        <v>0</v>
      </c>
    </row>
    <row r="348" spans="1:24">
      <c r="A348" t="s">
        <v>1083</v>
      </c>
      <c r="B348" t="s">
        <v>1084</v>
      </c>
      <c r="C348" t="s">
        <v>130</v>
      </c>
      <c r="D348">
        <v>2.99</v>
      </c>
      <c r="E348">
        <v>1679</v>
      </c>
      <c r="F348">
        <v>10</v>
      </c>
      <c r="G348" t="s">
        <v>47</v>
      </c>
      <c r="H348" t="s">
        <v>1085</v>
      </c>
      <c r="I348" t="s">
        <v>29</v>
      </c>
      <c r="J348" t="s">
        <v>31</v>
      </c>
      <c r="K348" t="s">
        <v>38</v>
      </c>
      <c r="L348" t="s">
        <v>30</v>
      </c>
      <c r="M348" t="s">
        <v>97</v>
      </c>
      <c r="N348">
        <v>4</v>
      </c>
      <c r="O348">
        <v>2</v>
      </c>
      <c r="P348">
        <v>0</v>
      </c>
      <c r="Q348">
        <v>561.5384615384615</v>
      </c>
      <c r="R348">
        <v>3.34448160535117</v>
      </c>
      <c r="S348">
        <v>167.9</v>
      </c>
      <c r="T348">
        <v>0</v>
      </c>
      <c r="U348">
        <v>1</v>
      </c>
      <c r="V348">
        <v>0</v>
      </c>
      <c r="W348">
        <v>7.426549072397305</v>
      </c>
      <c r="X348">
        <v>0</v>
      </c>
    </row>
    <row r="349" spans="1:24">
      <c r="A349" t="s">
        <v>1086</v>
      </c>
      <c r="B349" t="s">
        <v>1087</v>
      </c>
      <c r="C349" t="s">
        <v>35</v>
      </c>
      <c r="D349">
        <v>6.935</v>
      </c>
      <c r="E349">
        <v>3313</v>
      </c>
      <c r="F349">
        <v>21</v>
      </c>
      <c r="G349" t="s">
        <v>47</v>
      </c>
      <c r="H349" t="s">
        <v>1088</v>
      </c>
      <c r="I349" t="s">
        <v>29</v>
      </c>
      <c r="J349" t="s">
        <v>31</v>
      </c>
      <c r="K349" t="s">
        <v>31</v>
      </c>
      <c r="L349" t="s">
        <v>31</v>
      </c>
      <c r="M349" t="s">
        <v>76</v>
      </c>
      <c r="N349">
        <v>4</v>
      </c>
      <c r="O349">
        <v>2</v>
      </c>
      <c r="P349">
        <v>0</v>
      </c>
      <c r="Q349">
        <v>477.7217015140591</v>
      </c>
      <c r="R349">
        <v>3.028118240807498</v>
      </c>
      <c r="S349">
        <v>157.7619047619048</v>
      </c>
      <c r="T349">
        <v>0</v>
      </c>
      <c r="U349">
        <v>1</v>
      </c>
      <c r="V349">
        <v>0</v>
      </c>
      <c r="W349">
        <v>8.105911197986508</v>
      </c>
      <c r="X349">
        <v>0</v>
      </c>
    </row>
    <row r="350" spans="1:24">
      <c r="A350" t="s">
        <v>1089</v>
      </c>
      <c r="B350" t="s">
        <v>1090</v>
      </c>
      <c r="C350" t="s">
        <v>35</v>
      </c>
      <c r="D350">
        <v>1.866</v>
      </c>
      <c r="E350">
        <v>1867</v>
      </c>
      <c r="F350">
        <v>17</v>
      </c>
      <c r="G350" t="s">
        <v>27</v>
      </c>
      <c r="H350" t="s">
        <v>1091</v>
      </c>
      <c r="I350" t="s">
        <v>29</v>
      </c>
      <c r="J350" t="s">
        <v>30</v>
      </c>
      <c r="K350" t="s">
        <v>38</v>
      </c>
      <c r="L350" t="s">
        <v>30</v>
      </c>
      <c r="M350" t="s">
        <v>32</v>
      </c>
      <c r="N350">
        <v>5</v>
      </c>
      <c r="O350">
        <v>2</v>
      </c>
      <c r="P350">
        <v>0</v>
      </c>
      <c r="Q350">
        <v>1000.5359056806</v>
      </c>
      <c r="R350">
        <v>9.110396570203644</v>
      </c>
      <c r="S350">
        <v>109.8235294117647</v>
      </c>
      <c r="T350">
        <v>0</v>
      </c>
      <c r="U350">
        <v>1</v>
      </c>
      <c r="V350">
        <v>0</v>
      </c>
      <c r="W350">
        <v>7.532623618788788</v>
      </c>
      <c r="X350">
        <v>0</v>
      </c>
    </row>
    <row r="351" spans="1:24">
      <c r="A351" t="s">
        <v>1092</v>
      </c>
      <c r="B351" t="s">
        <v>1093</v>
      </c>
      <c r="C351" t="s">
        <v>35</v>
      </c>
      <c r="D351">
        <v>8.706</v>
      </c>
      <c r="E351">
        <v>1004</v>
      </c>
      <c r="F351">
        <v>12</v>
      </c>
      <c r="G351" t="s">
        <v>47</v>
      </c>
      <c r="H351" t="s">
        <v>1094</v>
      </c>
      <c r="I351" t="s">
        <v>29</v>
      </c>
      <c r="J351" t="s">
        <v>31</v>
      </c>
      <c r="K351" t="s">
        <v>30</v>
      </c>
      <c r="L351" t="s">
        <v>31</v>
      </c>
      <c r="M351" t="s">
        <v>76</v>
      </c>
      <c r="N351">
        <v>5</v>
      </c>
      <c r="O351">
        <v>2</v>
      </c>
      <c r="P351">
        <v>0</v>
      </c>
      <c r="Q351">
        <v>115.3227659085688</v>
      </c>
      <c r="R351">
        <v>1.378359751895245</v>
      </c>
      <c r="S351">
        <v>83.66666666666667</v>
      </c>
      <c r="T351">
        <v>0</v>
      </c>
      <c r="U351">
        <v>1</v>
      </c>
      <c r="V351">
        <v>0</v>
      </c>
      <c r="W351">
        <v>6.912742820493176</v>
      </c>
      <c r="X351">
        <v>0</v>
      </c>
    </row>
    <row r="352" spans="1:24">
      <c r="A352" t="s">
        <v>1095</v>
      </c>
      <c r="B352" t="s">
        <v>1096</v>
      </c>
      <c r="C352" t="s">
        <v>35</v>
      </c>
      <c r="D352">
        <v>2.438</v>
      </c>
      <c r="E352">
        <v>1922</v>
      </c>
      <c r="F352">
        <v>21</v>
      </c>
      <c r="G352" t="s">
        <v>27</v>
      </c>
      <c r="H352" t="s">
        <v>1097</v>
      </c>
      <c r="I352" t="s">
        <v>29</v>
      </c>
      <c r="J352" t="s">
        <v>30</v>
      </c>
      <c r="K352" t="s">
        <v>31</v>
      </c>
      <c r="L352" t="s">
        <v>31</v>
      </c>
      <c r="M352" t="s">
        <v>44</v>
      </c>
      <c r="N352">
        <v>5</v>
      </c>
      <c r="O352">
        <v>2</v>
      </c>
      <c r="P352">
        <v>0</v>
      </c>
      <c r="Q352">
        <v>788.3511074651353</v>
      </c>
      <c r="R352">
        <v>8.613617719442166</v>
      </c>
      <c r="S352">
        <v>91.52380952380952</v>
      </c>
      <c r="T352">
        <v>0</v>
      </c>
      <c r="U352">
        <v>1</v>
      </c>
      <c r="V352">
        <v>0</v>
      </c>
      <c r="W352">
        <v>7.56164174558878</v>
      </c>
      <c r="X352">
        <v>0</v>
      </c>
    </row>
    <row r="353" spans="1:24">
      <c r="A353" t="s">
        <v>1098</v>
      </c>
      <c r="B353" t="s">
        <v>1099</v>
      </c>
      <c r="C353" t="s">
        <v>35</v>
      </c>
      <c r="D353">
        <v>7.371</v>
      </c>
      <c r="E353">
        <v>270</v>
      </c>
      <c r="F353">
        <v>13</v>
      </c>
      <c r="G353" t="s">
        <v>36</v>
      </c>
      <c r="H353" t="s">
        <v>1100</v>
      </c>
      <c r="I353" t="s">
        <v>29</v>
      </c>
      <c r="J353" t="s">
        <v>38</v>
      </c>
      <c r="K353" t="s">
        <v>30</v>
      </c>
      <c r="L353" t="s">
        <v>31</v>
      </c>
      <c r="M353" t="s">
        <v>97</v>
      </c>
      <c r="N353">
        <v>5</v>
      </c>
      <c r="O353">
        <v>2</v>
      </c>
      <c r="P353">
        <v>0</v>
      </c>
      <c r="Q353">
        <v>36.63003663003663</v>
      </c>
      <c r="R353">
        <v>1.763668430335097</v>
      </c>
      <c r="S353">
        <v>20.76923076923077</v>
      </c>
      <c r="T353">
        <v>0</v>
      </c>
      <c r="U353">
        <v>1</v>
      </c>
      <c r="V353">
        <v>0</v>
      </c>
      <c r="W353">
        <v>5.602118820879701</v>
      </c>
      <c r="X353">
        <v>0</v>
      </c>
    </row>
    <row r="354" spans="1:24">
      <c r="A354" t="s">
        <v>1101</v>
      </c>
      <c r="B354" t="s">
        <v>1102</v>
      </c>
      <c r="C354" t="s">
        <v>26</v>
      </c>
      <c r="D354">
        <v>4.106</v>
      </c>
      <c r="E354">
        <v>2340</v>
      </c>
      <c r="F354">
        <v>12</v>
      </c>
      <c r="G354" t="s">
        <v>27</v>
      </c>
      <c r="H354" t="s">
        <v>1103</v>
      </c>
      <c r="I354" t="s">
        <v>29</v>
      </c>
      <c r="J354" t="s">
        <v>30</v>
      </c>
      <c r="K354" t="s">
        <v>38</v>
      </c>
      <c r="L354" t="s">
        <v>30</v>
      </c>
      <c r="M354" t="s">
        <v>44</v>
      </c>
      <c r="N354">
        <v>5</v>
      </c>
      <c r="O354">
        <v>2</v>
      </c>
      <c r="P354">
        <v>0</v>
      </c>
      <c r="Q354">
        <v>569.8977106673161</v>
      </c>
      <c r="R354">
        <v>2.922552362396493</v>
      </c>
      <c r="S354">
        <v>195</v>
      </c>
      <c r="T354">
        <v>0</v>
      </c>
      <c r="U354">
        <v>1</v>
      </c>
      <c r="V354">
        <v>0</v>
      </c>
      <c r="W354">
        <v>7.75833346749091</v>
      </c>
      <c r="X354">
        <v>0</v>
      </c>
    </row>
    <row r="355" spans="1:24">
      <c r="A355" t="s">
        <v>1104</v>
      </c>
      <c r="B355" t="s">
        <v>1105</v>
      </c>
      <c r="C355" t="s">
        <v>26</v>
      </c>
      <c r="D355">
        <v>2.183</v>
      </c>
      <c r="E355">
        <v>17337</v>
      </c>
      <c r="F355">
        <v>19</v>
      </c>
      <c r="G355" t="s">
        <v>47</v>
      </c>
      <c r="H355" t="s">
        <v>1106</v>
      </c>
      <c r="I355" t="s">
        <v>29</v>
      </c>
      <c r="J355" t="s">
        <v>31</v>
      </c>
      <c r="K355" t="s">
        <v>30</v>
      </c>
      <c r="L355" t="s">
        <v>31</v>
      </c>
      <c r="M355" t="s">
        <v>97</v>
      </c>
      <c r="N355">
        <v>5</v>
      </c>
      <c r="O355">
        <v>2</v>
      </c>
      <c r="P355">
        <v>0</v>
      </c>
      <c r="Q355">
        <v>7941.823179111316</v>
      </c>
      <c r="R355">
        <v>8.703618873110399</v>
      </c>
      <c r="S355">
        <v>912.4736842105264</v>
      </c>
      <c r="T355">
        <v>0</v>
      </c>
      <c r="U355">
        <v>1</v>
      </c>
      <c r="V355">
        <v>1</v>
      </c>
      <c r="W355">
        <v>9.760655903428583</v>
      </c>
      <c r="X355">
        <v>0</v>
      </c>
    </row>
    <row r="356" spans="1:24">
      <c r="A356" t="s">
        <v>1107</v>
      </c>
      <c r="B356" t="s">
        <v>1108</v>
      </c>
      <c r="C356" t="s">
        <v>35</v>
      </c>
      <c r="D356">
        <v>3.349</v>
      </c>
      <c r="E356">
        <v>2402</v>
      </c>
      <c r="F356">
        <v>14</v>
      </c>
      <c r="G356" t="s">
        <v>62</v>
      </c>
      <c r="H356" t="s">
        <v>1109</v>
      </c>
      <c r="I356" t="s">
        <v>29</v>
      </c>
      <c r="J356" t="s">
        <v>30</v>
      </c>
      <c r="K356" t="s">
        <v>30</v>
      </c>
      <c r="L356" t="s">
        <v>31</v>
      </c>
      <c r="M356" t="s">
        <v>83</v>
      </c>
      <c r="N356">
        <v>5</v>
      </c>
      <c r="O356">
        <v>2</v>
      </c>
      <c r="P356">
        <v>0</v>
      </c>
      <c r="Q356">
        <v>717.2290235891311</v>
      </c>
      <c r="R356">
        <v>4.180352343983278</v>
      </c>
      <c r="S356">
        <v>171.5714285714286</v>
      </c>
      <c r="T356">
        <v>0</v>
      </c>
      <c r="U356">
        <v>1</v>
      </c>
      <c r="V356">
        <v>0</v>
      </c>
      <c r="W356">
        <v>7.784473235736469</v>
      </c>
      <c r="X356">
        <v>0</v>
      </c>
    </row>
    <row r="357" spans="1:24">
      <c r="A357" t="s">
        <v>1110</v>
      </c>
      <c r="B357" t="s">
        <v>1111</v>
      </c>
      <c r="C357" t="s">
        <v>26</v>
      </c>
      <c r="D357">
        <v>3.717</v>
      </c>
      <c r="E357">
        <v>1564</v>
      </c>
      <c r="F357">
        <v>17</v>
      </c>
      <c r="G357" t="s">
        <v>62</v>
      </c>
      <c r="H357" t="s">
        <v>1112</v>
      </c>
      <c r="I357" t="s">
        <v>29</v>
      </c>
      <c r="J357" t="s">
        <v>30</v>
      </c>
      <c r="K357" t="s">
        <v>30</v>
      </c>
      <c r="L357" t="s">
        <v>30</v>
      </c>
      <c r="M357" t="s">
        <v>32</v>
      </c>
      <c r="N357">
        <v>5</v>
      </c>
      <c r="O357">
        <v>2</v>
      </c>
      <c r="P357">
        <v>0</v>
      </c>
      <c r="Q357">
        <v>420.7694377185903</v>
      </c>
      <c r="R357">
        <v>4.573580844767285</v>
      </c>
      <c r="S357">
        <v>92</v>
      </c>
      <c r="T357">
        <v>0</v>
      </c>
      <c r="U357">
        <v>1</v>
      </c>
      <c r="V357">
        <v>0</v>
      </c>
      <c r="W357">
        <v>7.355641102974253</v>
      </c>
      <c r="X357">
        <v>0</v>
      </c>
    </row>
    <row r="358" spans="1:24">
      <c r="A358" t="s">
        <v>1113</v>
      </c>
      <c r="B358" t="s">
        <v>1114</v>
      </c>
      <c r="C358" t="s">
        <v>35</v>
      </c>
      <c r="D358">
        <v>2.748</v>
      </c>
      <c r="E358">
        <v>2735</v>
      </c>
      <c r="F358">
        <v>10</v>
      </c>
      <c r="G358" t="s">
        <v>27</v>
      </c>
      <c r="H358" t="s">
        <v>1115</v>
      </c>
      <c r="I358" t="s">
        <v>29</v>
      </c>
      <c r="J358" t="s">
        <v>30</v>
      </c>
      <c r="K358" t="s">
        <v>38</v>
      </c>
      <c r="L358" t="s">
        <v>30</v>
      </c>
      <c r="M358" t="s">
        <v>97</v>
      </c>
      <c r="N358">
        <v>5</v>
      </c>
      <c r="O358">
        <v>2</v>
      </c>
      <c r="P358">
        <v>0</v>
      </c>
      <c r="Q358">
        <v>995.2692867540028</v>
      </c>
      <c r="R358">
        <v>3.63901018922853</v>
      </c>
      <c r="S358">
        <v>273.5</v>
      </c>
      <c r="T358">
        <v>0</v>
      </c>
      <c r="U358">
        <v>1</v>
      </c>
      <c r="V358">
        <v>0</v>
      </c>
      <c r="W358">
        <v>7.914252278742441</v>
      </c>
      <c r="X358">
        <v>0</v>
      </c>
    </row>
    <row r="359" spans="1:24">
      <c r="A359" t="s">
        <v>1116</v>
      </c>
      <c r="B359" t="s">
        <v>1117</v>
      </c>
      <c r="C359" t="s">
        <v>35</v>
      </c>
      <c r="D359">
        <v>0.434</v>
      </c>
      <c r="E359">
        <v>876</v>
      </c>
      <c r="F359">
        <v>15</v>
      </c>
      <c r="G359" t="s">
        <v>62</v>
      </c>
      <c r="H359" t="s">
        <v>1118</v>
      </c>
      <c r="I359" t="s">
        <v>29</v>
      </c>
      <c r="J359" t="s">
        <v>30</v>
      </c>
      <c r="K359" t="s">
        <v>30</v>
      </c>
      <c r="L359" t="s">
        <v>30</v>
      </c>
      <c r="M359" t="s">
        <v>97</v>
      </c>
      <c r="N359">
        <v>5</v>
      </c>
      <c r="O359">
        <v>2</v>
      </c>
      <c r="P359">
        <v>0</v>
      </c>
      <c r="Q359">
        <v>2018.433179723502</v>
      </c>
      <c r="R359">
        <v>34.56221198156682</v>
      </c>
      <c r="S359">
        <v>58.4</v>
      </c>
      <c r="T359">
        <v>0</v>
      </c>
      <c r="U359">
        <v>1</v>
      </c>
      <c r="V359">
        <v>0</v>
      </c>
      <c r="W359">
        <v>6.776506992372183</v>
      </c>
      <c r="X359">
        <v>0</v>
      </c>
    </row>
    <row r="360" spans="1:24">
      <c r="A360" t="s">
        <v>1119</v>
      </c>
      <c r="B360" t="s">
        <v>1120</v>
      </c>
      <c r="C360" t="s">
        <v>26</v>
      </c>
      <c r="D360">
        <v>1.255</v>
      </c>
      <c r="E360">
        <v>1512</v>
      </c>
      <c r="F360">
        <v>22</v>
      </c>
      <c r="G360" t="s">
        <v>47</v>
      </c>
      <c r="H360" t="s">
        <v>1121</v>
      </c>
      <c r="I360" t="s">
        <v>29</v>
      </c>
      <c r="J360" t="s">
        <v>31</v>
      </c>
      <c r="K360" t="s">
        <v>38</v>
      </c>
      <c r="L360" t="s">
        <v>31</v>
      </c>
      <c r="M360" t="s">
        <v>44</v>
      </c>
      <c r="N360">
        <v>5</v>
      </c>
      <c r="O360">
        <v>2</v>
      </c>
      <c r="P360">
        <v>0</v>
      </c>
      <c r="Q360">
        <v>1204.780876494024</v>
      </c>
      <c r="R360">
        <v>17.52988047808765</v>
      </c>
      <c r="S360">
        <v>68.72727272727273</v>
      </c>
      <c r="T360">
        <v>0</v>
      </c>
      <c r="U360">
        <v>1</v>
      </c>
      <c r="V360">
        <v>0</v>
      </c>
      <c r="W360">
        <v>7.321849713788356</v>
      </c>
      <c r="X360">
        <v>0</v>
      </c>
    </row>
    <row r="361" spans="1:24">
      <c r="A361" t="s">
        <v>1122</v>
      </c>
      <c r="B361" t="s">
        <v>1123</v>
      </c>
      <c r="C361" t="s">
        <v>35</v>
      </c>
      <c r="D361">
        <v>9.939</v>
      </c>
      <c r="E361">
        <v>3168</v>
      </c>
      <c r="F361">
        <v>18</v>
      </c>
      <c r="G361" t="s">
        <v>62</v>
      </c>
      <c r="H361" t="s">
        <v>1124</v>
      </c>
      <c r="I361" t="s">
        <v>29</v>
      </c>
      <c r="J361" t="s">
        <v>30</v>
      </c>
      <c r="K361" t="s">
        <v>38</v>
      </c>
      <c r="L361" t="s">
        <v>38</v>
      </c>
      <c r="M361" t="s">
        <v>97</v>
      </c>
      <c r="N361">
        <v>5</v>
      </c>
      <c r="O361">
        <v>2</v>
      </c>
      <c r="P361">
        <v>0</v>
      </c>
      <c r="Q361">
        <v>318.7443404769091</v>
      </c>
      <c r="R361">
        <v>1.811047389073348</v>
      </c>
      <c r="S361">
        <v>176</v>
      </c>
      <c r="T361">
        <v>0</v>
      </c>
      <c r="U361">
        <v>1</v>
      </c>
      <c r="V361">
        <v>0</v>
      </c>
      <c r="W361">
        <v>8.06117135969092</v>
      </c>
      <c r="X361">
        <v>0</v>
      </c>
    </row>
    <row r="362" spans="1:24">
      <c r="A362" t="s">
        <v>1125</v>
      </c>
      <c r="B362" t="s">
        <v>1126</v>
      </c>
      <c r="C362" t="s">
        <v>35</v>
      </c>
      <c r="D362">
        <v>9.051</v>
      </c>
      <c r="E362">
        <v>1445</v>
      </c>
      <c r="F362">
        <v>18</v>
      </c>
      <c r="G362" t="s">
        <v>62</v>
      </c>
      <c r="H362" t="s">
        <v>1127</v>
      </c>
      <c r="I362" t="s">
        <v>29</v>
      </c>
      <c r="J362" t="s">
        <v>30</v>
      </c>
      <c r="K362" t="s">
        <v>30</v>
      </c>
      <c r="L362" t="s">
        <v>30</v>
      </c>
      <c r="M362" t="s">
        <v>97</v>
      </c>
      <c r="N362">
        <v>6</v>
      </c>
      <c r="O362">
        <v>2</v>
      </c>
      <c r="P362">
        <v>0</v>
      </c>
      <c r="Q362">
        <v>159.6508673074798</v>
      </c>
      <c r="R362">
        <v>1.988730527013589</v>
      </c>
      <c r="S362">
        <v>80.27777777777777</v>
      </c>
      <c r="T362">
        <v>0</v>
      </c>
      <c r="U362">
        <v>0</v>
      </c>
      <c r="V362">
        <v>0</v>
      </c>
      <c r="W362">
        <v>7.27655640271871</v>
      </c>
      <c r="X362">
        <v>0</v>
      </c>
    </row>
    <row r="363" spans="1:24">
      <c r="A363" t="s">
        <v>1128</v>
      </c>
      <c r="B363" t="s">
        <v>1129</v>
      </c>
      <c r="C363" t="s">
        <v>35</v>
      </c>
      <c r="D363">
        <v>2.169</v>
      </c>
      <c r="E363">
        <v>2806</v>
      </c>
      <c r="F363">
        <v>17</v>
      </c>
      <c r="G363" t="s">
        <v>62</v>
      </c>
      <c r="H363" t="s">
        <v>1130</v>
      </c>
      <c r="I363" t="s">
        <v>29</v>
      </c>
      <c r="J363" t="s">
        <v>30</v>
      </c>
      <c r="K363" t="s">
        <v>30</v>
      </c>
      <c r="L363" t="s">
        <v>31</v>
      </c>
      <c r="M363" t="s">
        <v>39</v>
      </c>
      <c r="N363">
        <v>6</v>
      </c>
      <c r="O363">
        <v>2</v>
      </c>
      <c r="P363">
        <v>0</v>
      </c>
      <c r="Q363">
        <v>1293.683725218995</v>
      </c>
      <c r="R363">
        <v>7.837713231904103</v>
      </c>
      <c r="S363">
        <v>165.0588235294118</v>
      </c>
      <c r="T363">
        <v>0</v>
      </c>
      <c r="U363">
        <v>0</v>
      </c>
      <c r="V363">
        <v>0</v>
      </c>
      <c r="W363">
        <v>7.939871576361883</v>
      </c>
      <c r="X363">
        <v>0</v>
      </c>
    </row>
    <row r="364" spans="1:24">
      <c r="A364" t="s">
        <v>1131</v>
      </c>
      <c r="B364" t="s">
        <v>1132</v>
      </c>
      <c r="C364" t="s">
        <v>35</v>
      </c>
      <c r="D364">
        <v>2.853</v>
      </c>
      <c r="E364">
        <v>2172</v>
      </c>
      <c r="F364">
        <v>20</v>
      </c>
      <c r="G364" t="s">
        <v>36</v>
      </c>
      <c r="H364" t="s">
        <v>1133</v>
      </c>
      <c r="I364" t="s">
        <v>29</v>
      </c>
      <c r="J364" t="s">
        <v>38</v>
      </c>
      <c r="K364" t="s">
        <v>30</v>
      </c>
      <c r="L364" t="s">
        <v>38</v>
      </c>
      <c r="M364" t="s">
        <v>97</v>
      </c>
      <c r="N364">
        <v>6</v>
      </c>
      <c r="O364">
        <v>2</v>
      </c>
      <c r="P364">
        <v>0</v>
      </c>
      <c r="Q364">
        <v>761.30389064143</v>
      </c>
      <c r="R364">
        <v>7.010164738871363</v>
      </c>
      <c r="S364">
        <v>108.6</v>
      </c>
      <c r="T364">
        <v>0</v>
      </c>
      <c r="U364">
        <v>0</v>
      </c>
      <c r="V364">
        <v>0</v>
      </c>
      <c r="W364">
        <v>7.683863980256429</v>
      </c>
      <c r="X364">
        <v>0</v>
      </c>
    </row>
    <row r="365" spans="1:24">
      <c r="A365" t="s">
        <v>1134</v>
      </c>
      <c r="B365" t="s">
        <v>1135</v>
      </c>
      <c r="C365" t="s">
        <v>52</v>
      </c>
      <c r="D365">
        <v>3.918</v>
      </c>
      <c r="E365">
        <v>15856</v>
      </c>
      <c r="F365">
        <v>19</v>
      </c>
      <c r="G365" t="s">
        <v>47</v>
      </c>
      <c r="H365" t="s">
        <v>1136</v>
      </c>
      <c r="I365" t="s">
        <v>29</v>
      </c>
      <c r="J365" t="s">
        <v>31</v>
      </c>
      <c r="K365" t="s">
        <v>31</v>
      </c>
      <c r="L365" t="s">
        <v>31</v>
      </c>
      <c r="M365" t="s">
        <v>44</v>
      </c>
      <c r="N365">
        <v>6</v>
      </c>
      <c r="O365">
        <v>2</v>
      </c>
      <c r="P365">
        <v>0</v>
      </c>
      <c r="Q365">
        <v>4046.962736089842</v>
      </c>
      <c r="R365">
        <v>4.849412965798876</v>
      </c>
      <c r="S365">
        <v>834.5263157894736</v>
      </c>
      <c r="T365">
        <v>0</v>
      </c>
      <c r="U365">
        <v>0</v>
      </c>
      <c r="V365">
        <v>1</v>
      </c>
      <c r="W365">
        <v>9.671366322189568</v>
      </c>
      <c r="X365">
        <v>0</v>
      </c>
    </row>
    <row r="366" spans="1:24">
      <c r="A366" t="s">
        <v>1137</v>
      </c>
      <c r="B366" t="s">
        <v>1138</v>
      </c>
      <c r="C366" t="s">
        <v>35</v>
      </c>
      <c r="D366">
        <v>6.205</v>
      </c>
      <c r="E366">
        <v>2458</v>
      </c>
      <c r="F366">
        <v>18</v>
      </c>
      <c r="G366" t="s">
        <v>36</v>
      </c>
      <c r="H366" t="s">
        <v>1139</v>
      </c>
      <c r="I366" t="s">
        <v>29</v>
      </c>
      <c r="J366" t="s">
        <v>38</v>
      </c>
      <c r="K366" t="s">
        <v>30</v>
      </c>
      <c r="L366" t="s">
        <v>38</v>
      </c>
      <c r="M366" t="s">
        <v>83</v>
      </c>
      <c r="N366">
        <v>6</v>
      </c>
      <c r="O366">
        <v>2</v>
      </c>
      <c r="P366">
        <v>0</v>
      </c>
      <c r="Q366">
        <v>396.1321514907333</v>
      </c>
      <c r="R366">
        <v>2.90088638195004</v>
      </c>
      <c r="S366">
        <v>136.5555555555555</v>
      </c>
      <c r="T366">
        <v>0</v>
      </c>
      <c r="U366">
        <v>0</v>
      </c>
      <c r="V366">
        <v>0</v>
      </c>
      <c r="W366">
        <v>7.807510042216193</v>
      </c>
      <c r="X366">
        <v>0</v>
      </c>
    </row>
    <row r="367" spans="1:24">
      <c r="A367" t="s">
        <v>1140</v>
      </c>
      <c r="B367" t="s">
        <v>1141</v>
      </c>
      <c r="C367" t="s">
        <v>35</v>
      </c>
      <c r="D367">
        <v>6.824</v>
      </c>
      <c r="E367">
        <v>3929</v>
      </c>
      <c r="F367">
        <v>14</v>
      </c>
      <c r="G367" t="s">
        <v>36</v>
      </c>
      <c r="H367" t="s">
        <v>1142</v>
      </c>
      <c r="I367" t="s">
        <v>29</v>
      </c>
      <c r="J367" t="s">
        <v>38</v>
      </c>
      <c r="K367" t="s">
        <v>31</v>
      </c>
      <c r="L367" t="s">
        <v>30</v>
      </c>
      <c r="M367" t="s">
        <v>44</v>
      </c>
      <c r="N367">
        <v>6</v>
      </c>
      <c r="O367">
        <v>2</v>
      </c>
      <c r="P367">
        <v>0</v>
      </c>
      <c r="Q367">
        <v>575.7620164126612</v>
      </c>
      <c r="R367">
        <v>2.05158264947245</v>
      </c>
      <c r="S367">
        <v>280.6428571428572</v>
      </c>
      <c r="T367">
        <v>0</v>
      </c>
      <c r="U367">
        <v>0</v>
      </c>
      <c r="V367">
        <v>0</v>
      </c>
      <c r="W367">
        <v>8.276394704863307</v>
      </c>
      <c r="X367">
        <v>0</v>
      </c>
    </row>
    <row r="368" spans="1:24">
      <c r="A368" t="s">
        <v>1143</v>
      </c>
      <c r="B368" t="s">
        <v>1144</v>
      </c>
      <c r="C368" t="s">
        <v>26</v>
      </c>
      <c r="D368">
        <v>2.684</v>
      </c>
      <c r="E368">
        <v>2697</v>
      </c>
      <c r="F368">
        <v>18</v>
      </c>
      <c r="G368" t="s">
        <v>36</v>
      </c>
      <c r="H368" t="s">
        <v>1145</v>
      </c>
      <c r="I368" t="s">
        <v>29</v>
      </c>
      <c r="J368" t="s">
        <v>38</v>
      </c>
      <c r="K368" t="s">
        <v>31</v>
      </c>
      <c r="L368" t="s">
        <v>31</v>
      </c>
      <c r="M368" t="s">
        <v>39</v>
      </c>
      <c r="N368">
        <v>6</v>
      </c>
      <c r="O368">
        <v>2</v>
      </c>
      <c r="P368">
        <v>0</v>
      </c>
      <c r="Q368">
        <v>1004.843517138599</v>
      </c>
      <c r="R368">
        <v>6.706408345752608</v>
      </c>
      <c r="S368">
        <v>149.8333333333333</v>
      </c>
      <c r="T368">
        <v>0</v>
      </c>
      <c r="U368">
        <v>0</v>
      </c>
      <c r="V368">
        <v>0</v>
      </c>
      <c r="W368">
        <v>7.900266036767701</v>
      </c>
      <c r="X368">
        <v>0</v>
      </c>
    </row>
    <row r="369" spans="1:24">
      <c r="A369" t="s">
        <v>1146</v>
      </c>
      <c r="B369" t="s">
        <v>1147</v>
      </c>
      <c r="C369" t="s">
        <v>26</v>
      </c>
      <c r="D369">
        <v>2.16</v>
      </c>
      <c r="E369">
        <v>537</v>
      </c>
      <c r="F369">
        <v>15</v>
      </c>
      <c r="G369" t="s">
        <v>36</v>
      </c>
      <c r="H369" t="s">
        <v>1148</v>
      </c>
      <c r="I369" t="s">
        <v>29</v>
      </c>
      <c r="J369" t="s">
        <v>38</v>
      </c>
      <c r="K369" t="s">
        <v>30</v>
      </c>
      <c r="L369" t="s">
        <v>31</v>
      </c>
      <c r="M369" t="s">
        <v>32</v>
      </c>
      <c r="N369">
        <v>6</v>
      </c>
      <c r="O369">
        <v>2</v>
      </c>
      <c r="P369">
        <v>0</v>
      </c>
      <c r="Q369">
        <v>248.6111111111111</v>
      </c>
      <c r="R369">
        <v>6.944444444444444</v>
      </c>
      <c r="S369">
        <v>35.8</v>
      </c>
      <c r="T369">
        <v>0</v>
      </c>
      <c r="U369">
        <v>0</v>
      </c>
      <c r="V369">
        <v>0</v>
      </c>
      <c r="W369">
        <v>6.287858560161784</v>
      </c>
      <c r="X369">
        <v>0</v>
      </c>
    </row>
    <row r="370" spans="1:24">
      <c r="A370" t="s">
        <v>1149</v>
      </c>
      <c r="B370" t="s">
        <v>1150</v>
      </c>
      <c r="C370" t="s">
        <v>35</v>
      </c>
      <c r="D370">
        <v>2.21</v>
      </c>
      <c r="E370">
        <v>477</v>
      </c>
      <c r="F370">
        <v>18</v>
      </c>
      <c r="G370" t="s">
        <v>36</v>
      </c>
      <c r="H370" t="s">
        <v>1151</v>
      </c>
      <c r="I370" t="s">
        <v>29</v>
      </c>
      <c r="J370" t="s">
        <v>38</v>
      </c>
      <c r="K370" t="s">
        <v>31</v>
      </c>
      <c r="L370" t="s">
        <v>30</v>
      </c>
      <c r="M370" t="s">
        <v>44</v>
      </c>
      <c r="N370">
        <v>6</v>
      </c>
      <c r="O370">
        <v>2</v>
      </c>
      <c r="P370">
        <v>0</v>
      </c>
      <c r="Q370">
        <v>215.8371040723982</v>
      </c>
      <c r="R370">
        <v>8.144796380090497</v>
      </c>
      <c r="S370">
        <v>26.5</v>
      </c>
      <c r="T370">
        <v>0</v>
      </c>
      <c r="U370">
        <v>0</v>
      </c>
      <c r="V370">
        <v>0</v>
      </c>
      <c r="W370">
        <v>6.169610732491456</v>
      </c>
      <c r="X370">
        <v>0</v>
      </c>
    </row>
    <row r="371" spans="1:24">
      <c r="A371" t="s">
        <v>1152</v>
      </c>
      <c r="B371" t="s">
        <v>1153</v>
      </c>
      <c r="C371" t="s">
        <v>26</v>
      </c>
      <c r="D371">
        <v>10.714</v>
      </c>
      <c r="E371">
        <v>2584</v>
      </c>
      <c r="F371">
        <v>19</v>
      </c>
      <c r="G371" t="s">
        <v>47</v>
      </c>
      <c r="H371" t="s">
        <v>1154</v>
      </c>
      <c r="I371" t="s">
        <v>29</v>
      </c>
      <c r="J371" t="s">
        <v>31</v>
      </c>
      <c r="K371" t="s">
        <v>38</v>
      </c>
      <c r="L371" t="s">
        <v>30</v>
      </c>
      <c r="M371" t="s">
        <v>97</v>
      </c>
      <c r="N371">
        <v>6</v>
      </c>
      <c r="O371">
        <v>2</v>
      </c>
      <c r="P371">
        <v>0</v>
      </c>
      <c r="Q371">
        <v>241.1797647937278</v>
      </c>
      <c r="R371">
        <v>1.773380623483293</v>
      </c>
      <c r="S371">
        <v>136</v>
      </c>
      <c r="T371">
        <v>0</v>
      </c>
      <c r="U371">
        <v>0</v>
      </c>
      <c r="V371">
        <v>0</v>
      </c>
      <c r="W371">
        <v>7.85748078694253</v>
      </c>
      <c r="X371">
        <v>0</v>
      </c>
    </row>
    <row r="372" spans="1:24">
      <c r="A372" t="s">
        <v>1155</v>
      </c>
      <c r="B372" t="s">
        <v>1156</v>
      </c>
      <c r="C372" t="s">
        <v>35</v>
      </c>
      <c r="D372">
        <v>3.09</v>
      </c>
      <c r="E372">
        <v>5167</v>
      </c>
      <c r="F372">
        <v>18</v>
      </c>
      <c r="G372" t="s">
        <v>36</v>
      </c>
      <c r="H372" t="s">
        <v>1157</v>
      </c>
      <c r="I372" t="s">
        <v>29</v>
      </c>
      <c r="J372" t="s">
        <v>38</v>
      </c>
      <c r="K372" t="s">
        <v>30</v>
      </c>
      <c r="L372" t="s">
        <v>31</v>
      </c>
      <c r="M372" t="s">
        <v>76</v>
      </c>
      <c r="N372">
        <v>6</v>
      </c>
      <c r="O372">
        <v>2</v>
      </c>
      <c r="P372">
        <v>0</v>
      </c>
      <c r="Q372">
        <v>1672.168284789644</v>
      </c>
      <c r="R372">
        <v>5.825242718446602</v>
      </c>
      <c r="S372">
        <v>287.0555555555555</v>
      </c>
      <c r="T372">
        <v>0</v>
      </c>
      <c r="U372">
        <v>0</v>
      </c>
      <c r="V372">
        <v>0</v>
      </c>
      <c r="W372">
        <v>8.550241045462437</v>
      </c>
      <c r="X372">
        <v>0</v>
      </c>
    </row>
    <row r="373" spans="1:24">
      <c r="A373" t="s">
        <v>1158</v>
      </c>
      <c r="B373" t="s">
        <v>1159</v>
      </c>
      <c r="C373" t="s">
        <v>26</v>
      </c>
      <c r="D373">
        <v>1.075</v>
      </c>
      <c r="E373">
        <v>7482</v>
      </c>
      <c r="F373">
        <v>21</v>
      </c>
      <c r="G373" t="s">
        <v>36</v>
      </c>
      <c r="H373" t="s">
        <v>1160</v>
      </c>
      <c r="I373" t="s">
        <v>29</v>
      </c>
      <c r="J373" t="s">
        <v>38</v>
      </c>
      <c r="K373" t="s">
        <v>30</v>
      </c>
      <c r="L373" t="s">
        <v>31</v>
      </c>
      <c r="M373" t="s">
        <v>44</v>
      </c>
      <c r="N373">
        <v>6</v>
      </c>
      <c r="O373">
        <v>2</v>
      </c>
      <c r="P373">
        <v>0</v>
      </c>
      <c r="Q373">
        <v>6960</v>
      </c>
      <c r="R373">
        <v>19.53488372093023</v>
      </c>
      <c r="S373">
        <v>356.2857142857143</v>
      </c>
      <c r="T373">
        <v>0</v>
      </c>
      <c r="U373">
        <v>0</v>
      </c>
      <c r="V373">
        <v>0</v>
      </c>
      <c r="W373">
        <v>8.920389060080359</v>
      </c>
      <c r="X373">
        <v>0</v>
      </c>
    </row>
    <row r="374" spans="1:24">
      <c r="A374" t="s">
        <v>1161</v>
      </c>
      <c r="B374" t="s">
        <v>1162</v>
      </c>
      <c r="C374" t="s">
        <v>35</v>
      </c>
      <c r="D374">
        <v>2.835</v>
      </c>
      <c r="E374">
        <v>1972</v>
      </c>
      <c r="F374">
        <v>20</v>
      </c>
      <c r="G374" t="s">
        <v>36</v>
      </c>
      <c r="H374" t="s">
        <v>1163</v>
      </c>
      <c r="I374" t="s">
        <v>29</v>
      </c>
      <c r="J374" t="s">
        <v>38</v>
      </c>
      <c r="K374" t="s">
        <v>31</v>
      </c>
      <c r="L374" t="s">
        <v>38</v>
      </c>
      <c r="M374" t="s">
        <v>39</v>
      </c>
      <c r="N374">
        <v>7</v>
      </c>
      <c r="O374">
        <v>2</v>
      </c>
      <c r="P374">
        <v>0</v>
      </c>
      <c r="Q374">
        <v>695.5908289241622</v>
      </c>
      <c r="R374">
        <v>7.054673721340389</v>
      </c>
      <c r="S374">
        <v>98.59999999999999</v>
      </c>
      <c r="T374">
        <v>0</v>
      </c>
      <c r="U374">
        <v>0</v>
      </c>
      <c r="V374">
        <v>0</v>
      </c>
      <c r="W374">
        <v>7.587310506022615</v>
      </c>
      <c r="X374">
        <v>0</v>
      </c>
    </row>
    <row r="375" spans="1:24">
      <c r="A375" t="s">
        <v>1164</v>
      </c>
      <c r="B375" t="s">
        <v>1165</v>
      </c>
      <c r="C375" t="s">
        <v>35</v>
      </c>
      <c r="D375">
        <v>4.564</v>
      </c>
      <c r="E375">
        <v>3131</v>
      </c>
      <c r="F375">
        <v>22</v>
      </c>
      <c r="G375" t="s">
        <v>27</v>
      </c>
      <c r="H375" t="s">
        <v>1166</v>
      </c>
      <c r="I375" t="s">
        <v>29</v>
      </c>
      <c r="J375" t="s">
        <v>30</v>
      </c>
      <c r="K375" t="s">
        <v>30</v>
      </c>
      <c r="L375" t="s">
        <v>30</v>
      </c>
      <c r="M375" t="s">
        <v>44</v>
      </c>
      <c r="N375">
        <v>7</v>
      </c>
      <c r="O375">
        <v>2</v>
      </c>
      <c r="P375">
        <v>0</v>
      </c>
      <c r="Q375">
        <v>686.0210341805433</v>
      </c>
      <c r="R375">
        <v>4.820333041191937</v>
      </c>
      <c r="S375">
        <v>142.3181818181818</v>
      </c>
      <c r="T375">
        <v>0</v>
      </c>
      <c r="U375">
        <v>0</v>
      </c>
      <c r="V375">
        <v>0</v>
      </c>
      <c r="W375">
        <v>8.049427057110695</v>
      </c>
      <c r="X375">
        <v>0</v>
      </c>
    </row>
    <row r="376" spans="1:24">
      <c r="A376" t="s">
        <v>1167</v>
      </c>
      <c r="B376" t="s">
        <v>1168</v>
      </c>
      <c r="C376" t="s">
        <v>35</v>
      </c>
      <c r="D376">
        <v>6.839</v>
      </c>
      <c r="E376">
        <v>1129</v>
      </c>
      <c r="F376">
        <v>12</v>
      </c>
      <c r="G376" t="s">
        <v>62</v>
      </c>
      <c r="H376" t="s">
        <v>1169</v>
      </c>
      <c r="I376" t="s">
        <v>29</v>
      </c>
      <c r="J376" t="s">
        <v>30</v>
      </c>
      <c r="K376" t="s">
        <v>30</v>
      </c>
      <c r="L376" t="s">
        <v>30</v>
      </c>
      <c r="M376" t="s">
        <v>97</v>
      </c>
      <c r="N376">
        <v>7</v>
      </c>
      <c r="O376">
        <v>2</v>
      </c>
      <c r="P376">
        <v>0</v>
      </c>
      <c r="Q376">
        <v>165.0826144173125</v>
      </c>
      <c r="R376">
        <v>1.754642491592338</v>
      </c>
      <c r="S376">
        <v>94.08333333333331</v>
      </c>
      <c r="T376">
        <v>0</v>
      </c>
      <c r="U376">
        <v>0</v>
      </c>
      <c r="V376">
        <v>0</v>
      </c>
      <c r="W376">
        <v>7.029972911706386</v>
      </c>
      <c r="X376">
        <v>0</v>
      </c>
    </row>
    <row r="377" spans="1:24">
      <c r="A377" t="s">
        <v>1170</v>
      </c>
      <c r="B377" t="s">
        <v>1171</v>
      </c>
      <c r="C377" t="s">
        <v>52</v>
      </c>
      <c r="D377">
        <v>1.015</v>
      </c>
      <c r="E377">
        <v>5729</v>
      </c>
      <c r="F377">
        <v>21</v>
      </c>
      <c r="G377" t="s">
        <v>62</v>
      </c>
      <c r="H377" t="s">
        <v>1172</v>
      </c>
      <c r="I377" t="s">
        <v>29</v>
      </c>
      <c r="J377" t="s">
        <v>30</v>
      </c>
      <c r="K377" t="s">
        <v>38</v>
      </c>
      <c r="L377" t="s">
        <v>31</v>
      </c>
      <c r="M377" t="s">
        <v>44</v>
      </c>
      <c r="N377">
        <v>7</v>
      </c>
      <c r="O377">
        <v>2</v>
      </c>
      <c r="P377">
        <v>0</v>
      </c>
      <c r="Q377">
        <v>5644.334975369458</v>
      </c>
      <c r="R377">
        <v>20.6896551724138</v>
      </c>
      <c r="S377">
        <v>272.8095238095238</v>
      </c>
      <c r="T377">
        <v>0</v>
      </c>
      <c r="U377">
        <v>0</v>
      </c>
      <c r="V377">
        <v>0</v>
      </c>
      <c r="W377">
        <v>8.653470809708786</v>
      </c>
      <c r="X377">
        <v>0</v>
      </c>
    </row>
    <row r="378" spans="1:24">
      <c r="A378" t="s">
        <v>1173</v>
      </c>
      <c r="B378" t="s">
        <v>1174</v>
      </c>
      <c r="C378" t="s">
        <v>26</v>
      </c>
      <c r="D378">
        <v>4.917</v>
      </c>
      <c r="E378">
        <v>6472</v>
      </c>
      <c r="F378">
        <v>21</v>
      </c>
      <c r="G378" t="s">
        <v>36</v>
      </c>
      <c r="H378" t="s">
        <v>1175</v>
      </c>
      <c r="I378" t="s">
        <v>29</v>
      </c>
      <c r="J378" t="s">
        <v>38</v>
      </c>
      <c r="K378" t="s">
        <v>30</v>
      </c>
      <c r="L378" t="s">
        <v>31</v>
      </c>
      <c r="M378" t="s">
        <v>44</v>
      </c>
      <c r="N378">
        <v>7</v>
      </c>
      <c r="O378">
        <v>2</v>
      </c>
      <c r="P378">
        <v>0</v>
      </c>
      <c r="Q378">
        <v>1316.249745779947</v>
      </c>
      <c r="R378">
        <v>4.270896888346553</v>
      </c>
      <c r="S378">
        <v>308.1904761904762</v>
      </c>
      <c r="T378">
        <v>0</v>
      </c>
      <c r="U378">
        <v>0</v>
      </c>
      <c r="V378">
        <v>0</v>
      </c>
      <c r="W378">
        <v>8.77539495854551</v>
      </c>
      <c r="X378">
        <v>0</v>
      </c>
    </row>
    <row r="379" spans="1:24">
      <c r="A379" t="s">
        <v>1176</v>
      </c>
      <c r="B379" t="s">
        <v>1177</v>
      </c>
      <c r="C379" t="s">
        <v>35</v>
      </c>
      <c r="D379">
        <v>2.484</v>
      </c>
      <c r="E379">
        <v>4235</v>
      </c>
      <c r="F379">
        <v>20</v>
      </c>
      <c r="G379" t="s">
        <v>36</v>
      </c>
      <c r="H379" t="s">
        <v>1178</v>
      </c>
      <c r="I379" t="s">
        <v>29</v>
      </c>
      <c r="J379" t="s">
        <v>38</v>
      </c>
      <c r="K379" t="s">
        <v>30</v>
      </c>
      <c r="L379" t="s">
        <v>31</v>
      </c>
      <c r="M379" t="s">
        <v>32</v>
      </c>
      <c r="N379">
        <v>7</v>
      </c>
      <c r="O379">
        <v>2</v>
      </c>
      <c r="P379">
        <v>0</v>
      </c>
      <c r="Q379">
        <v>1704.911433172303</v>
      </c>
      <c r="R379">
        <v>8.051529790660226</v>
      </c>
      <c r="S379">
        <v>211.75</v>
      </c>
      <c r="T379">
        <v>0</v>
      </c>
      <c r="U379">
        <v>0</v>
      </c>
      <c r="V379">
        <v>0</v>
      </c>
      <c r="W379">
        <v>8.351374706721296</v>
      </c>
      <c r="X379">
        <v>0</v>
      </c>
    </row>
    <row r="380" spans="1:24">
      <c r="A380" t="s">
        <v>1179</v>
      </c>
      <c r="B380" t="s">
        <v>1180</v>
      </c>
      <c r="C380" t="s">
        <v>35</v>
      </c>
      <c r="D380">
        <v>6.681</v>
      </c>
      <c r="E380">
        <v>748</v>
      </c>
      <c r="F380">
        <v>18</v>
      </c>
      <c r="G380" t="s">
        <v>36</v>
      </c>
      <c r="H380" t="s">
        <v>1181</v>
      </c>
      <c r="I380" t="s">
        <v>29</v>
      </c>
      <c r="J380" t="s">
        <v>38</v>
      </c>
      <c r="K380" t="s">
        <v>30</v>
      </c>
      <c r="L380" t="s">
        <v>30</v>
      </c>
      <c r="M380" t="s">
        <v>97</v>
      </c>
      <c r="N380">
        <v>7</v>
      </c>
      <c r="O380">
        <v>2</v>
      </c>
      <c r="P380">
        <v>0</v>
      </c>
      <c r="Q380">
        <v>111.9592875318066</v>
      </c>
      <c r="R380">
        <v>2.694207453973956</v>
      </c>
      <c r="S380">
        <v>41.55555555555556</v>
      </c>
      <c r="T380">
        <v>0</v>
      </c>
      <c r="U380">
        <v>0</v>
      </c>
      <c r="V380">
        <v>0</v>
      </c>
      <c r="W380">
        <v>6.618738983517219</v>
      </c>
      <c r="X380">
        <v>0</v>
      </c>
    </row>
    <row r="381" spans="1:24">
      <c r="A381" t="s">
        <v>1182</v>
      </c>
      <c r="B381" t="s">
        <v>1183</v>
      </c>
      <c r="C381" t="s">
        <v>35</v>
      </c>
      <c r="D381">
        <v>0.151</v>
      </c>
      <c r="E381">
        <v>11869</v>
      </c>
      <c r="F381">
        <v>3</v>
      </c>
      <c r="G381" t="s">
        <v>27</v>
      </c>
      <c r="H381" t="s">
        <v>1184</v>
      </c>
      <c r="I381" t="s">
        <v>90</v>
      </c>
      <c r="J381" t="s">
        <v>30</v>
      </c>
      <c r="K381" t="s">
        <v>30</v>
      </c>
      <c r="L381" t="s">
        <v>31</v>
      </c>
      <c r="M381" t="s">
        <v>97</v>
      </c>
      <c r="N381">
        <v>7</v>
      </c>
      <c r="O381">
        <v>2</v>
      </c>
      <c r="P381">
        <v>0</v>
      </c>
      <c r="Q381">
        <v>78602.64900662252</v>
      </c>
      <c r="R381">
        <v>19.86754966887417</v>
      </c>
      <c r="S381">
        <v>3956.333333333333</v>
      </c>
      <c r="T381">
        <v>0</v>
      </c>
      <c r="U381">
        <v>0</v>
      </c>
      <c r="V381">
        <v>1</v>
      </c>
      <c r="W381">
        <v>9.381769487603714</v>
      </c>
      <c r="X381">
        <v>1</v>
      </c>
    </row>
    <row r="382" spans="1:24">
      <c r="A382" t="s">
        <v>1185</v>
      </c>
      <c r="B382" t="s">
        <v>1186</v>
      </c>
      <c r="C382" t="s">
        <v>26</v>
      </c>
      <c r="D382">
        <v>7.227</v>
      </c>
      <c r="E382">
        <v>4242</v>
      </c>
      <c r="F382">
        <v>19</v>
      </c>
      <c r="G382" t="s">
        <v>36</v>
      </c>
      <c r="H382" t="s">
        <v>1187</v>
      </c>
      <c r="I382" t="s">
        <v>29</v>
      </c>
      <c r="J382" t="s">
        <v>38</v>
      </c>
      <c r="K382" t="s">
        <v>31</v>
      </c>
      <c r="L382" t="s">
        <v>38</v>
      </c>
      <c r="M382" t="s">
        <v>97</v>
      </c>
      <c r="N382">
        <v>7</v>
      </c>
      <c r="O382">
        <v>2</v>
      </c>
      <c r="P382">
        <v>0</v>
      </c>
      <c r="Q382">
        <v>586.9655458696554</v>
      </c>
      <c r="R382">
        <v>2.6290300262903</v>
      </c>
      <c r="S382">
        <v>223.2631578947368</v>
      </c>
      <c r="T382">
        <v>0</v>
      </c>
      <c r="U382">
        <v>0</v>
      </c>
      <c r="V382">
        <v>0</v>
      </c>
      <c r="W382">
        <v>8.353025845202325</v>
      </c>
      <c r="X382">
        <v>0</v>
      </c>
    </row>
    <row r="383" spans="1:24">
      <c r="A383" t="s">
        <v>1188</v>
      </c>
      <c r="B383" t="s">
        <v>1189</v>
      </c>
      <c r="C383" t="s">
        <v>26</v>
      </c>
      <c r="D383">
        <v>1.517</v>
      </c>
      <c r="E383">
        <v>2112</v>
      </c>
      <c r="F383">
        <v>12</v>
      </c>
      <c r="G383" t="s">
        <v>47</v>
      </c>
      <c r="H383" t="s">
        <v>1190</v>
      </c>
      <c r="I383" t="s">
        <v>29</v>
      </c>
      <c r="J383" t="s">
        <v>31</v>
      </c>
      <c r="K383" t="s">
        <v>30</v>
      </c>
      <c r="L383" t="s">
        <v>31</v>
      </c>
      <c r="M383" t="s">
        <v>39</v>
      </c>
      <c r="N383">
        <v>7</v>
      </c>
      <c r="O383">
        <v>2</v>
      </c>
      <c r="P383">
        <v>0</v>
      </c>
      <c r="Q383">
        <v>1392.221489782465</v>
      </c>
      <c r="R383">
        <v>7.910349373764008</v>
      </c>
      <c r="S383">
        <v>176</v>
      </c>
      <c r="T383">
        <v>0</v>
      </c>
      <c r="U383">
        <v>0</v>
      </c>
      <c r="V383">
        <v>0</v>
      </c>
      <c r="W383">
        <v>7.655864017616056</v>
      </c>
      <c r="X383">
        <v>0</v>
      </c>
    </row>
    <row r="384" spans="1:24">
      <c r="A384" t="s">
        <v>1191</v>
      </c>
      <c r="B384" t="s">
        <v>1192</v>
      </c>
      <c r="C384" t="s">
        <v>130</v>
      </c>
      <c r="D384">
        <v>4.364</v>
      </c>
      <c r="E384">
        <v>3505</v>
      </c>
      <c r="F384">
        <v>20</v>
      </c>
      <c r="G384" t="s">
        <v>47</v>
      </c>
      <c r="H384" t="s">
        <v>1193</v>
      </c>
      <c r="I384" t="s">
        <v>29</v>
      </c>
      <c r="J384" t="s">
        <v>31</v>
      </c>
      <c r="K384" t="s">
        <v>30</v>
      </c>
      <c r="L384" t="s">
        <v>30</v>
      </c>
      <c r="M384" t="s">
        <v>39</v>
      </c>
      <c r="N384">
        <v>7</v>
      </c>
      <c r="O384">
        <v>2</v>
      </c>
      <c r="P384">
        <v>0</v>
      </c>
      <c r="Q384">
        <v>803.1622364802934</v>
      </c>
      <c r="R384">
        <v>4.582951420714941</v>
      </c>
      <c r="S384">
        <v>175.25</v>
      </c>
      <c r="T384">
        <v>0</v>
      </c>
      <c r="U384">
        <v>0</v>
      </c>
      <c r="V384">
        <v>0</v>
      </c>
      <c r="W384">
        <v>8.16223106548118</v>
      </c>
      <c r="X384">
        <v>0</v>
      </c>
    </row>
    <row r="385" spans="1:24">
      <c r="A385" t="s">
        <v>1194</v>
      </c>
      <c r="B385" t="s">
        <v>1195</v>
      </c>
      <c r="C385" t="s">
        <v>130</v>
      </c>
      <c r="D385">
        <v>3.761</v>
      </c>
      <c r="E385">
        <v>1816</v>
      </c>
      <c r="F385">
        <v>14</v>
      </c>
      <c r="G385" t="s">
        <v>36</v>
      </c>
      <c r="H385" t="s">
        <v>1196</v>
      </c>
      <c r="I385" t="s">
        <v>29</v>
      </c>
      <c r="J385" t="s">
        <v>38</v>
      </c>
      <c r="K385" t="s">
        <v>30</v>
      </c>
      <c r="L385" t="s">
        <v>30</v>
      </c>
      <c r="M385" t="s">
        <v>39</v>
      </c>
      <c r="N385">
        <v>7</v>
      </c>
      <c r="O385">
        <v>2</v>
      </c>
      <c r="P385">
        <v>0</v>
      </c>
      <c r="Q385">
        <v>482.8503057697421</v>
      </c>
      <c r="R385">
        <v>3.722414251528849</v>
      </c>
      <c r="S385">
        <v>129.7142857142857</v>
      </c>
      <c r="T385">
        <v>0</v>
      </c>
      <c r="U385">
        <v>0</v>
      </c>
      <c r="V385">
        <v>0</v>
      </c>
      <c r="W385">
        <v>7.504942068396171</v>
      </c>
      <c r="X385">
        <v>0</v>
      </c>
    </row>
    <row r="386" spans="1:24">
      <c r="A386" t="s">
        <v>1197</v>
      </c>
      <c r="B386" t="s">
        <v>1198</v>
      </c>
      <c r="C386" t="s">
        <v>35</v>
      </c>
      <c r="D386">
        <v>10.819</v>
      </c>
      <c r="E386">
        <v>3119</v>
      </c>
      <c r="F386">
        <v>11</v>
      </c>
      <c r="G386" t="s">
        <v>62</v>
      </c>
      <c r="H386" t="s">
        <v>1199</v>
      </c>
      <c r="I386" t="s">
        <v>29</v>
      </c>
      <c r="J386" t="s">
        <v>30</v>
      </c>
      <c r="K386" t="s">
        <v>30</v>
      </c>
      <c r="L386" t="s">
        <v>30</v>
      </c>
      <c r="M386" t="s">
        <v>97</v>
      </c>
      <c r="N386">
        <v>8</v>
      </c>
      <c r="O386">
        <v>2</v>
      </c>
      <c r="P386">
        <v>0</v>
      </c>
      <c r="Q386">
        <v>288.2891209908494</v>
      </c>
      <c r="R386">
        <v>1.016729827155929</v>
      </c>
      <c r="S386">
        <v>283.5454545454546</v>
      </c>
      <c r="T386">
        <v>0</v>
      </c>
      <c r="U386">
        <v>0</v>
      </c>
      <c r="V386">
        <v>0</v>
      </c>
      <c r="W386">
        <v>8.045588280803528</v>
      </c>
      <c r="X386">
        <v>0</v>
      </c>
    </row>
    <row r="387" spans="1:24">
      <c r="A387" t="s">
        <v>1200</v>
      </c>
      <c r="B387" t="s">
        <v>1201</v>
      </c>
      <c r="C387" t="s">
        <v>130</v>
      </c>
      <c r="D387">
        <v>6.039</v>
      </c>
      <c r="E387">
        <v>653</v>
      </c>
      <c r="F387">
        <v>6</v>
      </c>
      <c r="G387" t="s">
        <v>47</v>
      </c>
      <c r="H387" t="s">
        <v>1202</v>
      </c>
      <c r="I387" t="s">
        <v>29</v>
      </c>
      <c r="J387" t="s">
        <v>31</v>
      </c>
      <c r="K387" t="s">
        <v>31</v>
      </c>
      <c r="L387" t="s">
        <v>30</v>
      </c>
      <c r="M387" t="s">
        <v>44</v>
      </c>
      <c r="N387">
        <v>8</v>
      </c>
      <c r="O387">
        <v>2</v>
      </c>
      <c r="P387">
        <v>0</v>
      </c>
      <c r="Q387">
        <v>108.1304851796655</v>
      </c>
      <c r="R387">
        <v>0.9935419771485344</v>
      </c>
      <c r="S387">
        <v>108.8333333333333</v>
      </c>
      <c r="T387">
        <v>0</v>
      </c>
      <c r="U387">
        <v>0</v>
      </c>
      <c r="V387">
        <v>0</v>
      </c>
      <c r="W387">
        <v>6.483107351457199</v>
      </c>
      <c r="X387">
        <v>0</v>
      </c>
    </row>
    <row r="388" spans="1:24">
      <c r="A388" t="s">
        <v>1203</v>
      </c>
      <c r="B388" t="s">
        <v>1204</v>
      </c>
      <c r="C388" t="s">
        <v>26</v>
      </c>
      <c r="D388">
        <v>0.156</v>
      </c>
      <c r="E388">
        <v>4343</v>
      </c>
      <c r="F388">
        <v>4</v>
      </c>
      <c r="G388" t="s">
        <v>36</v>
      </c>
      <c r="H388" t="s">
        <v>1205</v>
      </c>
      <c r="I388" t="s">
        <v>90</v>
      </c>
      <c r="J388" t="s">
        <v>38</v>
      </c>
      <c r="K388" t="s">
        <v>30</v>
      </c>
      <c r="L388" t="s">
        <v>31</v>
      </c>
      <c r="M388" t="s">
        <v>44</v>
      </c>
      <c r="N388">
        <v>8</v>
      </c>
      <c r="O388">
        <v>2</v>
      </c>
      <c r="P388">
        <v>0</v>
      </c>
      <c r="Q388">
        <v>27839.74358974359</v>
      </c>
      <c r="R388">
        <v>25.64102564102564</v>
      </c>
      <c r="S388">
        <v>1085.75</v>
      </c>
      <c r="T388">
        <v>0</v>
      </c>
      <c r="U388">
        <v>0</v>
      </c>
      <c r="V388">
        <v>0</v>
      </c>
      <c r="W388">
        <v>8.37655086161377</v>
      </c>
      <c r="X388">
        <v>1</v>
      </c>
    </row>
    <row r="389" spans="1:24">
      <c r="A389" t="s">
        <v>1206</v>
      </c>
      <c r="B389" t="s">
        <v>1207</v>
      </c>
      <c r="C389" t="s">
        <v>35</v>
      </c>
      <c r="D389">
        <v>2.081</v>
      </c>
      <c r="E389">
        <v>1157</v>
      </c>
      <c r="F389">
        <v>19</v>
      </c>
      <c r="G389" t="s">
        <v>27</v>
      </c>
      <c r="H389" t="s">
        <v>1208</v>
      </c>
      <c r="I389" t="s">
        <v>29</v>
      </c>
      <c r="J389" t="s">
        <v>30</v>
      </c>
      <c r="K389" t="s">
        <v>30</v>
      </c>
      <c r="L389" t="s">
        <v>31</v>
      </c>
      <c r="M389" t="s">
        <v>44</v>
      </c>
      <c r="N389">
        <v>8</v>
      </c>
      <c r="O389">
        <v>2</v>
      </c>
      <c r="P389">
        <v>0</v>
      </c>
      <c r="Q389">
        <v>555.9827006246996</v>
      </c>
      <c r="R389">
        <v>9.130225852955309</v>
      </c>
      <c r="S389">
        <v>60.89473684210526</v>
      </c>
      <c r="T389">
        <v>0</v>
      </c>
      <c r="U389">
        <v>0</v>
      </c>
      <c r="V389">
        <v>0</v>
      </c>
      <c r="W389">
        <v>7.05444965813294</v>
      </c>
      <c r="X389">
        <v>0</v>
      </c>
    </row>
    <row r="390" spans="1:24">
      <c r="A390" t="s">
        <v>1209</v>
      </c>
      <c r="B390" t="s">
        <v>1210</v>
      </c>
      <c r="C390" t="s">
        <v>35</v>
      </c>
      <c r="D390">
        <v>1.33</v>
      </c>
      <c r="E390">
        <v>2792</v>
      </c>
      <c r="F390">
        <v>16</v>
      </c>
      <c r="G390" t="s">
        <v>36</v>
      </c>
      <c r="H390" t="s">
        <v>1211</v>
      </c>
      <c r="I390" t="s">
        <v>29</v>
      </c>
      <c r="J390" t="s">
        <v>38</v>
      </c>
      <c r="K390" t="s">
        <v>31</v>
      </c>
      <c r="L390" t="s">
        <v>38</v>
      </c>
      <c r="M390" t="s">
        <v>97</v>
      </c>
      <c r="N390">
        <v>8</v>
      </c>
      <c r="O390">
        <v>2</v>
      </c>
      <c r="P390">
        <v>0</v>
      </c>
      <c r="Q390">
        <v>2099.248120300752</v>
      </c>
      <c r="R390">
        <v>12.03007518796992</v>
      </c>
      <c r="S390">
        <v>174.5</v>
      </c>
      <c r="T390">
        <v>0</v>
      </c>
      <c r="U390">
        <v>0</v>
      </c>
      <c r="V390">
        <v>0</v>
      </c>
      <c r="W390">
        <v>7.934871565945177</v>
      </c>
      <c r="X390">
        <v>0</v>
      </c>
    </row>
    <row r="391" spans="1:24">
      <c r="A391" t="s">
        <v>1212</v>
      </c>
      <c r="B391" t="s">
        <v>1213</v>
      </c>
      <c r="C391" t="s">
        <v>26</v>
      </c>
      <c r="D391">
        <v>7.816</v>
      </c>
      <c r="E391">
        <v>41046</v>
      </c>
      <c r="F391">
        <v>72</v>
      </c>
      <c r="G391" t="s">
        <v>36</v>
      </c>
      <c r="H391" t="s">
        <v>1214</v>
      </c>
      <c r="I391" t="s">
        <v>49</v>
      </c>
      <c r="J391" t="s">
        <v>38</v>
      </c>
      <c r="K391" t="s">
        <v>31</v>
      </c>
      <c r="L391" t="s">
        <v>30</v>
      </c>
      <c r="M391" t="s">
        <v>44</v>
      </c>
      <c r="N391">
        <v>8</v>
      </c>
      <c r="O391">
        <v>2</v>
      </c>
      <c r="P391">
        <v>0</v>
      </c>
      <c r="Q391">
        <v>5251.535312180144</v>
      </c>
      <c r="R391">
        <v>9.211873080859776</v>
      </c>
      <c r="S391">
        <v>570.0833333333334</v>
      </c>
      <c r="T391">
        <v>0</v>
      </c>
      <c r="U391">
        <v>0</v>
      </c>
      <c r="V391">
        <v>1</v>
      </c>
      <c r="W391">
        <v>10.62247303060219</v>
      </c>
      <c r="X391">
        <v>1</v>
      </c>
    </row>
    <row r="392" spans="1:24">
      <c r="A392" t="s">
        <v>1215</v>
      </c>
      <c r="B392" t="s">
        <v>1216</v>
      </c>
      <c r="C392" t="s">
        <v>26</v>
      </c>
      <c r="D392">
        <v>9.952999999999999</v>
      </c>
      <c r="E392">
        <v>1373</v>
      </c>
      <c r="F392">
        <v>19</v>
      </c>
      <c r="G392" t="s">
        <v>36</v>
      </c>
      <c r="H392" t="s">
        <v>1217</v>
      </c>
      <c r="I392" t="s">
        <v>29</v>
      </c>
      <c r="J392" t="s">
        <v>38</v>
      </c>
      <c r="K392" t="s">
        <v>31</v>
      </c>
      <c r="L392" t="s">
        <v>38</v>
      </c>
      <c r="M392" t="s">
        <v>97</v>
      </c>
      <c r="N392">
        <v>8</v>
      </c>
      <c r="O392">
        <v>2</v>
      </c>
      <c r="P392">
        <v>0</v>
      </c>
      <c r="Q392">
        <v>137.9483572792123</v>
      </c>
      <c r="R392">
        <v>1.908972169195218</v>
      </c>
      <c r="S392">
        <v>72.26315789473684</v>
      </c>
      <c r="T392">
        <v>0</v>
      </c>
      <c r="U392">
        <v>0</v>
      </c>
      <c r="V392">
        <v>0</v>
      </c>
      <c r="W392">
        <v>7.225481472782294</v>
      </c>
      <c r="X392">
        <v>0</v>
      </c>
    </row>
    <row r="393" spans="1:24">
      <c r="A393" t="s">
        <v>1218</v>
      </c>
      <c r="B393" t="s">
        <v>1219</v>
      </c>
      <c r="C393" t="s">
        <v>26</v>
      </c>
      <c r="D393">
        <v>2.627</v>
      </c>
      <c r="E393">
        <v>94379</v>
      </c>
      <c r="F393">
        <v>123</v>
      </c>
      <c r="G393" t="s">
        <v>47</v>
      </c>
      <c r="H393" t="s">
        <v>1220</v>
      </c>
      <c r="I393" t="s">
        <v>49</v>
      </c>
      <c r="J393" t="s">
        <v>31</v>
      </c>
      <c r="K393" t="s">
        <v>30</v>
      </c>
      <c r="L393" t="s">
        <v>31</v>
      </c>
      <c r="M393" t="s">
        <v>44</v>
      </c>
      <c r="N393">
        <v>8</v>
      </c>
      <c r="O393">
        <v>2</v>
      </c>
      <c r="P393">
        <v>0</v>
      </c>
      <c r="Q393">
        <v>35926.53216596879</v>
      </c>
      <c r="R393">
        <v>46.82146935668063</v>
      </c>
      <c r="S393">
        <v>767.3089430894308</v>
      </c>
      <c r="T393">
        <v>0</v>
      </c>
      <c r="U393">
        <v>0</v>
      </c>
      <c r="V393">
        <v>1</v>
      </c>
      <c r="W393">
        <v>11.45508446528038</v>
      </c>
      <c r="X393">
        <v>1</v>
      </c>
    </row>
    <row r="394" spans="1:24">
      <c r="A394" t="s">
        <v>1221</v>
      </c>
      <c r="B394" t="s">
        <v>1222</v>
      </c>
      <c r="C394" t="s">
        <v>52</v>
      </c>
      <c r="D394">
        <v>0.389</v>
      </c>
      <c r="E394">
        <v>3187</v>
      </c>
      <c r="F394">
        <v>21</v>
      </c>
      <c r="G394" t="s">
        <v>62</v>
      </c>
      <c r="H394" t="s">
        <v>1223</v>
      </c>
      <c r="I394" t="s">
        <v>29</v>
      </c>
      <c r="J394" t="s">
        <v>30</v>
      </c>
      <c r="K394" t="s">
        <v>31</v>
      </c>
      <c r="L394" t="s">
        <v>38</v>
      </c>
      <c r="M394" t="s">
        <v>97</v>
      </c>
      <c r="N394">
        <v>8</v>
      </c>
      <c r="O394">
        <v>2</v>
      </c>
      <c r="P394">
        <v>0</v>
      </c>
      <c r="Q394">
        <v>8192.802056555269</v>
      </c>
      <c r="R394">
        <v>53.98457583547557</v>
      </c>
      <c r="S394">
        <v>151.7619047619048</v>
      </c>
      <c r="T394">
        <v>0</v>
      </c>
      <c r="U394">
        <v>0</v>
      </c>
      <c r="V394">
        <v>0</v>
      </c>
      <c r="W394">
        <v>8.067149039910106</v>
      </c>
      <c r="X394">
        <v>0</v>
      </c>
    </row>
    <row r="395" spans="1:24">
      <c r="A395" t="s">
        <v>1224</v>
      </c>
      <c r="B395" t="s">
        <v>1225</v>
      </c>
      <c r="C395" t="s">
        <v>35</v>
      </c>
      <c r="D395">
        <v>4.289</v>
      </c>
      <c r="E395">
        <v>1455</v>
      </c>
      <c r="F395">
        <v>22</v>
      </c>
      <c r="G395" t="s">
        <v>47</v>
      </c>
      <c r="H395" t="s">
        <v>1226</v>
      </c>
      <c r="I395" t="s">
        <v>29</v>
      </c>
      <c r="J395" t="s">
        <v>31</v>
      </c>
      <c r="K395" t="s">
        <v>38</v>
      </c>
      <c r="L395" t="s">
        <v>30</v>
      </c>
      <c r="M395" t="s">
        <v>39</v>
      </c>
      <c r="N395">
        <v>8</v>
      </c>
      <c r="O395">
        <v>2</v>
      </c>
      <c r="P395">
        <v>0</v>
      </c>
      <c r="Q395">
        <v>339.2399160643507</v>
      </c>
      <c r="R395">
        <v>5.129400792725577</v>
      </c>
      <c r="S395">
        <v>66.13636363636364</v>
      </c>
      <c r="T395">
        <v>0</v>
      </c>
      <c r="U395">
        <v>0</v>
      </c>
      <c r="V395">
        <v>0</v>
      </c>
      <c r="W395">
        <v>7.283448228756631</v>
      </c>
      <c r="X395">
        <v>0</v>
      </c>
    </row>
    <row r="396" spans="1:24">
      <c r="A396" t="s">
        <v>1227</v>
      </c>
      <c r="B396" t="s">
        <v>1228</v>
      </c>
      <c r="C396" t="s">
        <v>35</v>
      </c>
      <c r="D396">
        <v>2.696</v>
      </c>
      <c r="E396">
        <v>20393</v>
      </c>
      <c r="F396">
        <v>88</v>
      </c>
      <c r="G396" t="s">
        <v>62</v>
      </c>
      <c r="H396" t="s">
        <v>1229</v>
      </c>
      <c r="I396" t="s">
        <v>49</v>
      </c>
      <c r="J396" t="s">
        <v>30</v>
      </c>
      <c r="K396" t="s">
        <v>31</v>
      </c>
      <c r="L396" t="s">
        <v>30</v>
      </c>
      <c r="M396" t="s">
        <v>97</v>
      </c>
      <c r="N396">
        <v>8</v>
      </c>
      <c r="O396">
        <v>2</v>
      </c>
      <c r="P396">
        <v>0</v>
      </c>
      <c r="Q396">
        <v>7564.169139465875</v>
      </c>
      <c r="R396">
        <v>32.64094955489614</v>
      </c>
      <c r="S396">
        <v>231.7386363636364</v>
      </c>
      <c r="T396">
        <v>0</v>
      </c>
      <c r="U396">
        <v>0</v>
      </c>
      <c r="V396">
        <v>1</v>
      </c>
      <c r="W396">
        <v>9.92299601892417</v>
      </c>
      <c r="X396">
        <v>1</v>
      </c>
    </row>
    <row r="397" spans="1:24">
      <c r="A397" t="s">
        <v>1230</v>
      </c>
      <c r="B397" t="s">
        <v>1231</v>
      </c>
      <c r="C397" t="s">
        <v>35</v>
      </c>
      <c r="D397">
        <v>3.426</v>
      </c>
      <c r="E397">
        <v>14709</v>
      </c>
      <c r="F397">
        <v>26</v>
      </c>
      <c r="G397" t="s">
        <v>27</v>
      </c>
      <c r="H397" t="s">
        <v>1232</v>
      </c>
      <c r="I397" t="s">
        <v>29</v>
      </c>
      <c r="J397" t="s">
        <v>30</v>
      </c>
      <c r="K397" t="s">
        <v>30</v>
      </c>
      <c r="L397" t="s">
        <v>30</v>
      </c>
      <c r="M397" t="s">
        <v>44</v>
      </c>
      <c r="N397">
        <v>8</v>
      </c>
      <c r="O397">
        <v>2</v>
      </c>
      <c r="P397">
        <v>0</v>
      </c>
      <c r="Q397">
        <v>4293.345008756567</v>
      </c>
      <c r="R397">
        <v>7.589025102159953</v>
      </c>
      <c r="S397">
        <v>565.7307692307693</v>
      </c>
      <c r="T397">
        <v>0</v>
      </c>
      <c r="U397">
        <v>0</v>
      </c>
      <c r="V397">
        <v>1</v>
      </c>
      <c r="W397">
        <v>9.596282813595485</v>
      </c>
      <c r="X397">
        <v>0</v>
      </c>
    </row>
    <row r="398" spans="1:24">
      <c r="A398" t="s">
        <v>1233</v>
      </c>
      <c r="B398" t="s">
        <v>1234</v>
      </c>
      <c r="C398" t="s">
        <v>35</v>
      </c>
      <c r="D398">
        <v>0.629</v>
      </c>
      <c r="E398">
        <v>2843</v>
      </c>
      <c r="F398">
        <v>22</v>
      </c>
      <c r="G398" t="s">
        <v>36</v>
      </c>
      <c r="H398" t="s">
        <v>1235</v>
      </c>
      <c r="I398" t="s">
        <v>29</v>
      </c>
      <c r="J398" t="s">
        <v>38</v>
      </c>
      <c r="K398" t="s">
        <v>30</v>
      </c>
      <c r="L398" t="s">
        <v>30</v>
      </c>
      <c r="M398" t="s">
        <v>76</v>
      </c>
      <c r="N398">
        <v>9</v>
      </c>
      <c r="O398">
        <v>2</v>
      </c>
      <c r="P398">
        <v>0</v>
      </c>
      <c r="Q398">
        <v>4519.872813990461</v>
      </c>
      <c r="R398">
        <v>34.97615262321145</v>
      </c>
      <c r="S398">
        <v>129.2272727272727</v>
      </c>
      <c r="T398">
        <v>0</v>
      </c>
      <c r="U398">
        <v>0</v>
      </c>
      <c r="V398">
        <v>0</v>
      </c>
      <c r="W398">
        <v>7.952966790923131</v>
      </c>
      <c r="X398">
        <v>0</v>
      </c>
    </row>
    <row r="399" spans="1:24">
      <c r="A399" t="s">
        <v>1236</v>
      </c>
      <c r="B399" t="s">
        <v>1237</v>
      </c>
      <c r="C399" t="s">
        <v>35</v>
      </c>
      <c r="D399">
        <v>3.873</v>
      </c>
      <c r="E399">
        <v>4175</v>
      </c>
      <c r="F399">
        <v>18</v>
      </c>
      <c r="G399" t="s">
        <v>62</v>
      </c>
      <c r="H399" t="s">
        <v>1238</v>
      </c>
      <c r="I399" t="s">
        <v>29</v>
      </c>
      <c r="J399" t="s">
        <v>30</v>
      </c>
      <c r="K399" t="s">
        <v>30</v>
      </c>
      <c r="L399" t="s">
        <v>31</v>
      </c>
      <c r="M399" t="s">
        <v>44</v>
      </c>
      <c r="N399">
        <v>9</v>
      </c>
      <c r="O399">
        <v>2</v>
      </c>
      <c r="P399">
        <v>0</v>
      </c>
      <c r="Q399">
        <v>1077.975729408727</v>
      </c>
      <c r="R399">
        <v>4.647560030983733</v>
      </c>
      <c r="S399">
        <v>231.9444444444445</v>
      </c>
      <c r="T399">
        <v>0</v>
      </c>
      <c r="U399">
        <v>0</v>
      </c>
      <c r="V399">
        <v>0</v>
      </c>
      <c r="W399">
        <v>8.337109129562474</v>
      </c>
      <c r="X399">
        <v>0</v>
      </c>
    </row>
    <row r="400" spans="1:24">
      <c r="A400" t="s">
        <v>1239</v>
      </c>
      <c r="B400" t="s">
        <v>1240</v>
      </c>
      <c r="C400" t="s">
        <v>26</v>
      </c>
      <c r="D400">
        <v>2.82</v>
      </c>
      <c r="E400">
        <v>1784</v>
      </c>
      <c r="F400">
        <v>12</v>
      </c>
      <c r="G400" t="s">
        <v>36</v>
      </c>
      <c r="H400" t="s">
        <v>1241</v>
      </c>
      <c r="I400" t="s">
        <v>29</v>
      </c>
      <c r="J400" t="s">
        <v>38</v>
      </c>
      <c r="K400" t="s">
        <v>30</v>
      </c>
      <c r="L400" t="s">
        <v>30</v>
      </c>
      <c r="M400" t="s">
        <v>97</v>
      </c>
      <c r="N400">
        <v>9</v>
      </c>
      <c r="O400">
        <v>2</v>
      </c>
      <c r="P400">
        <v>0</v>
      </c>
      <c r="Q400">
        <v>632.6241134751773</v>
      </c>
      <c r="R400">
        <v>4.25531914893617</v>
      </c>
      <c r="S400">
        <v>148.6666666666667</v>
      </c>
      <c r="T400">
        <v>0</v>
      </c>
      <c r="U400">
        <v>0</v>
      </c>
      <c r="V400">
        <v>0</v>
      </c>
      <c r="W400">
        <v>7.487173694213739</v>
      </c>
      <c r="X400">
        <v>0</v>
      </c>
    </row>
    <row r="401" spans="1:24">
      <c r="A401" t="s">
        <v>1242</v>
      </c>
      <c r="B401" t="s">
        <v>1243</v>
      </c>
      <c r="C401" t="s">
        <v>26</v>
      </c>
      <c r="D401">
        <v>2.671</v>
      </c>
      <c r="E401">
        <v>10020</v>
      </c>
      <c r="F401">
        <v>19</v>
      </c>
      <c r="G401" t="s">
        <v>62</v>
      </c>
      <c r="H401" t="s">
        <v>1244</v>
      </c>
      <c r="I401" t="s">
        <v>29</v>
      </c>
      <c r="J401" t="s">
        <v>30</v>
      </c>
      <c r="K401" t="s">
        <v>30</v>
      </c>
      <c r="L401" t="s">
        <v>30</v>
      </c>
      <c r="M401" t="s">
        <v>97</v>
      </c>
      <c r="N401">
        <v>9</v>
      </c>
      <c r="O401">
        <v>2</v>
      </c>
      <c r="P401">
        <v>0</v>
      </c>
      <c r="Q401">
        <v>3751.403968551105</v>
      </c>
      <c r="R401">
        <v>7.113440658929241</v>
      </c>
      <c r="S401">
        <v>527.3684210526316</v>
      </c>
      <c r="T401">
        <v>0</v>
      </c>
      <c r="U401">
        <v>0</v>
      </c>
      <c r="V401">
        <v>1</v>
      </c>
      <c r="W401">
        <v>9.212438170058329</v>
      </c>
      <c r="X401">
        <v>0</v>
      </c>
    </row>
    <row r="402" spans="1:24">
      <c r="A402" t="s">
        <v>1245</v>
      </c>
      <c r="B402" t="s">
        <v>1246</v>
      </c>
      <c r="C402" t="s">
        <v>35</v>
      </c>
      <c r="D402">
        <v>4.018</v>
      </c>
      <c r="E402">
        <v>1247</v>
      </c>
      <c r="F402">
        <v>21</v>
      </c>
      <c r="G402" t="s">
        <v>62</v>
      </c>
      <c r="H402" t="s">
        <v>1247</v>
      </c>
      <c r="I402" t="s">
        <v>29</v>
      </c>
      <c r="J402" t="s">
        <v>30</v>
      </c>
      <c r="K402" t="s">
        <v>31</v>
      </c>
      <c r="L402" t="s">
        <v>30</v>
      </c>
      <c r="M402" t="s">
        <v>97</v>
      </c>
      <c r="N402">
        <v>9</v>
      </c>
      <c r="O402">
        <v>2</v>
      </c>
      <c r="P402">
        <v>0</v>
      </c>
      <c r="Q402">
        <v>310.3534096565456</v>
      </c>
      <c r="R402">
        <v>5.226480836236934</v>
      </c>
      <c r="S402">
        <v>59.38095238095238</v>
      </c>
      <c r="T402">
        <v>0</v>
      </c>
      <c r="U402">
        <v>0</v>
      </c>
      <c r="V402">
        <v>0</v>
      </c>
      <c r="W402">
        <v>7.129297548929373</v>
      </c>
      <c r="X402">
        <v>0</v>
      </c>
    </row>
    <row r="403" spans="1:24">
      <c r="A403" t="s">
        <v>1248</v>
      </c>
      <c r="B403" t="s">
        <v>1249</v>
      </c>
      <c r="C403" t="s">
        <v>26</v>
      </c>
      <c r="D403">
        <v>2.799</v>
      </c>
      <c r="E403">
        <v>9907</v>
      </c>
      <c r="F403">
        <v>20</v>
      </c>
      <c r="G403" t="s">
        <v>27</v>
      </c>
      <c r="H403" t="s">
        <v>1250</v>
      </c>
      <c r="I403" t="s">
        <v>29</v>
      </c>
      <c r="J403" t="s">
        <v>30</v>
      </c>
      <c r="K403" t="s">
        <v>30</v>
      </c>
      <c r="L403" t="s">
        <v>30</v>
      </c>
      <c r="M403" t="s">
        <v>39</v>
      </c>
      <c r="N403">
        <v>9</v>
      </c>
      <c r="O403">
        <v>2</v>
      </c>
      <c r="P403">
        <v>0</v>
      </c>
      <c r="Q403">
        <v>3539.478385137549</v>
      </c>
      <c r="R403">
        <v>7.145409074669525</v>
      </c>
      <c r="S403">
        <v>495.35</v>
      </c>
      <c r="T403">
        <v>0</v>
      </c>
      <c r="U403">
        <v>0</v>
      </c>
      <c r="V403">
        <v>1</v>
      </c>
      <c r="W403">
        <v>9.20109779060925</v>
      </c>
      <c r="X403">
        <v>0</v>
      </c>
    </row>
    <row r="404" spans="1:24">
      <c r="A404" t="s">
        <v>1251</v>
      </c>
      <c r="B404" t="s">
        <v>1252</v>
      </c>
      <c r="C404" t="s">
        <v>35</v>
      </c>
      <c r="D404">
        <v>6.748</v>
      </c>
      <c r="E404">
        <v>2228</v>
      </c>
      <c r="F404">
        <v>15</v>
      </c>
      <c r="G404" t="s">
        <v>36</v>
      </c>
      <c r="H404" t="s">
        <v>1253</v>
      </c>
      <c r="I404" t="s">
        <v>29</v>
      </c>
      <c r="J404" t="s">
        <v>38</v>
      </c>
      <c r="K404" t="s">
        <v>31</v>
      </c>
      <c r="L404" t="s">
        <v>30</v>
      </c>
      <c r="M404" t="s">
        <v>44</v>
      </c>
      <c r="N404">
        <v>9</v>
      </c>
      <c r="O404">
        <v>2</v>
      </c>
      <c r="P404">
        <v>0</v>
      </c>
      <c r="Q404">
        <v>330.1719027860107</v>
      </c>
      <c r="R404">
        <v>2.222880853586248</v>
      </c>
      <c r="S404">
        <v>148.5333333333333</v>
      </c>
      <c r="T404">
        <v>0</v>
      </c>
      <c r="U404">
        <v>0</v>
      </c>
      <c r="V404">
        <v>0</v>
      </c>
      <c r="W404">
        <v>7.709308333385869</v>
      </c>
      <c r="X404">
        <v>0</v>
      </c>
    </row>
    <row r="405" spans="1:24">
      <c r="A405" t="s">
        <v>1254</v>
      </c>
      <c r="B405" t="s">
        <v>1255</v>
      </c>
      <c r="C405" t="s">
        <v>35</v>
      </c>
      <c r="D405">
        <v>3.752</v>
      </c>
      <c r="E405">
        <v>1201</v>
      </c>
      <c r="F405">
        <v>19</v>
      </c>
      <c r="G405" t="s">
        <v>27</v>
      </c>
      <c r="H405" t="s">
        <v>1256</v>
      </c>
      <c r="I405" t="s">
        <v>29</v>
      </c>
      <c r="J405" t="s">
        <v>30</v>
      </c>
      <c r="K405" t="s">
        <v>31</v>
      </c>
      <c r="L405" t="s">
        <v>31</v>
      </c>
      <c r="M405" t="s">
        <v>83</v>
      </c>
      <c r="N405">
        <v>9</v>
      </c>
      <c r="O405">
        <v>2</v>
      </c>
      <c r="P405">
        <v>0</v>
      </c>
      <c r="Q405">
        <v>320.0959488272921</v>
      </c>
      <c r="R405">
        <v>5.063965884861408</v>
      </c>
      <c r="S405">
        <v>63.21052631578947</v>
      </c>
      <c r="T405">
        <v>0</v>
      </c>
      <c r="U405">
        <v>0</v>
      </c>
      <c r="V405">
        <v>0</v>
      </c>
      <c r="W405">
        <v>7.091742115095153</v>
      </c>
      <c r="X405">
        <v>0</v>
      </c>
    </row>
    <row r="406" spans="1:24">
      <c r="A406" t="s">
        <v>1257</v>
      </c>
      <c r="B406" t="s">
        <v>1258</v>
      </c>
      <c r="C406" t="s">
        <v>35</v>
      </c>
      <c r="D406">
        <v>5.155</v>
      </c>
      <c r="E406">
        <v>7611</v>
      </c>
      <c r="F406">
        <v>24</v>
      </c>
      <c r="G406" t="s">
        <v>62</v>
      </c>
      <c r="H406" t="s">
        <v>1259</v>
      </c>
      <c r="I406" t="s">
        <v>29</v>
      </c>
      <c r="J406" t="s">
        <v>30</v>
      </c>
      <c r="K406" t="s">
        <v>30</v>
      </c>
      <c r="L406" t="s">
        <v>30</v>
      </c>
      <c r="M406" t="s">
        <v>44</v>
      </c>
      <c r="N406">
        <v>9</v>
      </c>
      <c r="O406">
        <v>2</v>
      </c>
      <c r="P406">
        <v>0</v>
      </c>
      <c r="Q406">
        <v>1476.43064985451</v>
      </c>
      <c r="R406">
        <v>4.655674102812803</v>
      </c>
      <c r="S406">
        <v>317.125</v>
      </c>
      <c r="T406">
        <v>0</v>
      </c>
      <c r="U406">
        <v>0</v>
      </c>
      <c r="V406">
        <v>0</v>
      </c>
      <c r="W406">
        <v>8.93748122841604</v>
      </c>
      <c r="X406">
        <v>0</v>
      </c>
    </row>
    <row r="407" spans="1:24">
      <c r="A407" t="s">
        <v>1260</v>
      </c>
      <c r="B407" t="s">
        <v>1261</v>
      </c>
      <c r="C407" t="s">
        <v>26</v>
      </c>
      <c r="D407">
        <v>6.793</v>
      </c>
      <c r="E407">
        <v>1248</v>
      </c>
      <c r="F407">
        <v>19</v>
      </c>
      <c r="G407" t="s">
        <v>62</v>
      </c>
      <c r="H407" t="s">
        <v>1262</v>
      </c>
      <c r="I407" t="s">
        <v>29</v>
      </c>
      <c r="J407" t="s">
        <v>30</v>
      </c>
      <c r="K407" t="s">
        <v>30</v>
      </c>
      <c r="L407" t="s">
        <v>30</v>
      </c>
      <c r="M407" t="s">
        <v>32</v>
      </c>
      <c r="N407">
        <v>9</v>
      </c>
      <c r="O407">
        <v>2</v>
      </c>
      <c r="P407">
        <v>0</v>
      </c>
      <c r="Q407">
        <v>183.7185337847785</v>
      </c>
      <c r="R407">
        <v>2.796996908582364</v>
      </c>
      <c r="S407">
        <v>65.68421052631579</v>
      </c>
      <c r="T407">
        <v>0</v>
      </c>
      <c r="U407">
        <v>0</v>
      </c>
      <c r="V407">
        <v>0</v>
      </c>
      <c r="W407">
        <v>7.130098510125578</v>
      </c>
      <c r="X407">
        <v>0</v>
      </c>
    </row>
    <row r="408" spans="1:24">
      <c r="A408" t="s">
        <v>1263</v>
      </c>
      <c r="B408" t="s">
        <v>1264</v>
      </c>
      <c r="C408" t="s">
        <v>35</v>
      </c>
      <c r="D408">
        <v>2.07</v>
      </c>
      <c r="E408">
        <v>9008</v>
      </c>
      <c r="F408">
        <v>15</v>
      </c>
      <c r="G408" t="s">
        <v>47</v>
      </c>
      <c r="H408" t="s">
        <v>1265</v>
      </c>
      <c r="I408" t="s">
        <v>29</v>
      </c>
      <c r="J408" t="s">
        <v>31</v>
      </c>
      <c r="K408" t="s">
        <v>38</v>
      </c>
      <c r="L408" t="s">
        <v>30</v>
      </c>
      <c r="M408" t="s">
        <v>32</v>
      </c>
      <c r="N408">
        <v>9</v>
      </c>
      <c r="O408">
        <v>2</v>
      </c>
      <c r="P408">
        <v>0</v>
      </c>
      <c r="Q408">
        <v>4351.690821256039</v>
      </c>
      <c r="R408">
        <v>7.246376811594203</v>
      </c>
      <c r="S408">
        <v>600.5333333333333</v>
      </c>
      <c r="T408">
        <v>0</v>
      </c>
      <c r="U408">
        <v>0</v>
      </c>
      <c r="V408">
        <v>0</v>
      </c>
      <c r="W408">
        <v>9.10597935665144</v>
      </c>
      <c r="X408">
        <v>0</v>
      </c>
    </row>
    <row r="409" spans="1:24">
      <c r="A409" t="s">
        <v>1266</v>
      </c>
      <c r="B409" t="s">
        <v>1267</v>
      </c>
      <c r="C409" t="s">
        <v>35</v>
      </c>
      <c r="D409">
        <v>1.12</v>
      </c>
      <c r="E409">
        <v>969</v>
      </c>
      <c r="F409">
        <v>12</v>
      </c>
      <c r="G409" t="s">
        <v>27</v>
      </c>
      <c r="H409" t="s">
        <v>1268</v>
      </c>
      <c r="I409" t="s">
        <v>29</v>
      </c>
      <c r="J409" t="s">
        <v>30</v>
      </c>
      <c r="K409" t="s">
        <v>30</v>
      </c>
      <c r="L409" t="s">
        <v>38</v>
      </c>
      <c r="M409" t="s">
        <v>32</v>
      </c>
      <c r="N409">
        <v>9</v>
      </c>
      <c r="O409">
        <v>2</v>
      </c>
      <c r="P409">
        <v>0</v>
      </c>
      <c r="Q409">
        <v>865.1785714285713</v>
      </c>
      <c r="R409">
        <v>10.71428571428571</v>
      </c>
      <c r="S409">
        <v>80.75</v>
      </c>
      <c r="T409">
        <v>0</v>
      </c>
      <c r="U409">
        <v>0</v>
      </c>
      <c r="V409">
        <v>0</v>
      </c>
      <c r="W409">
        <v>6.877296071497429</v>
      </c>
      <c r="X409">
        <v>0</v>
      </c>
    </row>
    <row r="410" spans="1:24">
      <c r="A410" t="s">
        <v>1269</v>
      </c>
      <c r="B410" t="s">
        <v>1270</v>
      </c>
      <c r="C410" t="s">
        <v>26</v>
      </c>
      <c r="D410">
        <v>4.624</v>
      </c>
      <c r="E410">
        <v>1403</v>
      </c>
      <c r="F410">
        <v>23</v>
      </c>
      <c r="G410" t="s">
        <v>62</v>
      </c>
      <c r="H410" t="s">
        <v>1271</v>
      </c>
      <c r="I410" t="s">
        <v>29</v>
      </c>
      <c r="J410" t="s">
        <v>30</v>
      </c>
      <c r="K410" t="s">
        <v>31</v>
      </c>
      <c r="L410" t="s">
        <v>31</v>
      </c>
      <c r="M410" t="s">
        <v>44</v>
      </c>
      <c r="N410">
        <v>10</v>
      </c>
      <c r="O410">
        <v>2</v>
      </c>
      <c r="P410">
        <v>0</v>
      </c>
      <c r="Q410">
        <v>303.4169550173011</v>
      </c>
      <c r="R410">
        <v>4.974048442906574</v>
      </c>
      <c r="S410">
        <v>61</v>
      </c>
      <c r="T410">
        <v>0</v>
      </c>
      <c r="U410">
        <v>0</v>
      </c>
      <c r="V410">
        <v>0</v>
      </c>
      <c r="W410">
        <v>7.247080584585756</v>
      </c>
      <c r="X410">
        <v>0</v>
      </c>
    </row>
    <row r="411" spans="1:24">
      <c r="A411" t="s">
        <v>1272</v>
      </c>
      <c r="B411" t="s">
        <v>1273</v>
      </c>
      <c r="C411" t="s">
        <v>130</v>
      </c>
      <c r="D411">
        <v>12.728</v>
      </c>
      <c r="E411">
        <v>1423</v>
      </c>
      <c r="F411">
        <v>19</v>
      </c>
      <c r="G411" t="s">
        <v>27</v>
      </c>
      <c r="H411" t="s">
        <v>1274</v>
      </c>
      <c r="I411" t="s">
        <v>29</v>
      </c>
      <c r="J411" t="s">
        <v>30</v>
      </c>
      <c r="K411" t="s">
        <v>30</v>
      </c>
      <c r="L411" t="s">
        <v>31</v>
      </c>
      <c r="M411" t="s">
        <v>44</v>
      </c>
      <c r="N411">
        <v>10</v>
      </c>
      <c r="O411">
        <v>2</v>
      </c>
      <c r="P411">
        <v>0</v>
      </c>
      <c r="Q411">
        <v>111.8007542426147</v>
      </c>
      <c r="R411">
        <v>1.492771841609051</v>
      </c>
      <c r="S411">
        <v>74.89473684210526</v>
      </c>
      <c r="T411">
        <v>0</v>
      </c>
      <c r="U411">
        <v>0</v>
      </c>
      <c r="V411">
        <v>0</v>
      </c>
      <c r="W411">
        <v>7.261225091971921</v>
      </c>
      <c r="X411">
        <v>0</v>
      </c>
    </row>
    <row r="412" spans="1:24">
      <c r="A412" t="s">
        <v>1275</v>
      </c>
      <c r="B412" t="s">
        <v>1276</v>
      </c>
      <c r="C412" t="s">
        <v>26</v>
      </c>
      <c r="D412">
        <v>2.57</v>
      </c>
      <c r="E412">
        <v>3315</v>
      </c>
      <c r="F412">
        <v>15</v>
      </c>
      <c r="G412" t="s">
        <v>47</v>
      </c>
      <c r="H412" t="s">
        <v>1277</v>
      </c>
      <c r="I412" t="s">
        <v>29</v>
      </c>
      <c r="J412" t="s">
        <v>31</v>
      </c>
      <c r="K412" t="s">
        <v>30</v>
      </c>
      <c r="L412" t="s">
        <v>31</v>
      </c>
      <c r="M412" t="s">
        <v>83</v>
      </c>
      <c r="N412">
        <v>10</v>
      </c>
      <c r="O412">
        <v>2</v>
      </c>
      <c r="P412">
        <v>0</v>
      </c>
      <c r="Q412">
        <v>1289.88326848249</v>
      </c>
      <c r="R412">
        <v>5.836575875486382</v>
      </c>
      <c r="S412">
        <v>221</v>
      </c>
      <c r="T412">
        <v>0</v>
      </c>
      <c r="U412">
        <v>0</v>
      </c>
      <c r="V412">
        <v>0</v>
      </c>
      <c r="W412">
        <v>8.106514516255185</v>
      </c>
      <c r="X412">
        <v>0</v>
      </c>
    </row>
    <row r="413" spans="1:24">
      <c r="A413" t="s">
        <v>1278</v>
      </c>
      <c r="B413" t="s">
        <v>1279</v>
      </c>
      <c r="C413" t="s">
        <v>35</v>
      </c>
      <c r="D413">
        <v>2.828</v>
      </c>
      <c r="E413">
        <v>3893</v>
      </c>
      <c r="F413">
        <v>20</v>
      </c>
      <c r="G413" t="s">
        <v>27</v>
      </c>
      <c r="H413" t="s">
        <v>1280</v>
      </c>
      <c r="I413" t="s">
        <v>29</v>
      </c>
      <c r="J413" t="s">
        <v>30</v>
      </c>
      <c r="K413" t="s">
        <v>31</v>
      </c>
      <c r="L413" t="s">
        <v>30</v>
      </c>
      <c r="M413" t="s">
        <v>44</v>
      </c>
      <c r="N413">
        <v>10</v>
      </c>
      <c r="O413">
        <v>2</v>
      </c>
      <c r="P413">
        <v>0</v>
      </c>
      <c r="Q413">
        <v>1376.591230551627</v>
      </c>
      <c r="R413">
        <v>7.072135785007073</v>
      </c>
      <c r="S413">
        <v>194.65</v>
      </c>
      <c r="T413">
        <v>0</v>
      </c>
      <c r="U413">
        <v>0</v>
      </c>
      <c r="V413">
        <v>0</v>
      </c>
      <c r="W413">
        <v>8.267192185932146</v>
      </c>
      <c r="X413">
        <v>0</v>
      </c>
    </row>
    <row r="414" spans="1:24">
      <c r="A414" t="s">
        <v>1281</v>
      </c>
      <c r="B414" t="s">
        <v>1282</v>
      </c>
      <c r="C414" t="s">
        <v>35</v>
      </c>
      <c r="D414">
        <v>1.673</v>
      </c>
      <c r="E414">
        <v>5360</v>
      </c>
      <c r="F414">
        <v>21</v>
      </c>
      <c r="G414" t="s">
        <v>62</v>
      </c>
      <c r="H414" t="s">
        <v>1283</v>
      </c>
      <c r="I414" t="s">
        <v>29</v>
      </c>
      <c r="J414" t="s">
        <v>30</v>
      </c>
      <c r="K414" t="s">
        <v>30</v>
      </c>
      <c r="L414" t="s">
        <v>30</v>
      </c>
      <c r="M414" t="s">
        <v>39</v>
      </c>
      <c r="N414">
        <v>10</v>
      </c>
      <c r="O414">
        <v>2</v>
      </c>
      <c r="P414">
        <v>0</v>
      </c>
      <c r="Q414">
        <v>3203.825463239689</v>
      </c>
      <c r="R414">
        <v>12.55230125523012</v>
      </c>
      <c r="S414">
        <v>255.2380952380952</v>
      </c>
      <c r="T414">
        <v>0</v>
      </c>
      <c r="U414">
        <v>0</v>
      </c>
      <c r="V414">
        <v>0</v>
      </c>
      <c r="W414">
        <v>8.586905803827538</v>
      </c>
      <c r="X414">
        <v>0</v>
      </c>
    </row>
    <row r="415" spans="1:24">
      <c r="A415" t="s">
        <v>1284</v>
      </c>
      <c r="B415" t="s">
        <v>1285</v>
      </c>
      <c r="C415" t="s">
        <v>26</v>
      </c>
      <c r="D415">
        <v>2.964</v>
      </c>
      <c r="E415">
        <v>1714</v>
      </c>
      <c r="F415">
        <v>8</v>
      </c>
      <c r="G415" t="s">
        <v>62</v>
      </c>
      <c r="H415" t="s">
        <v>1286</v>
      </c>
      <c r="I415" t="s">
        <v>29</v>
      </c>
      <c r="J415" t="s">
        <v>30</v>
      </c>
      <c r="K415" t="s">
        <v>38</v>
      </c>
      <c r="L415" t="s">
        <v>30</v>
      </c>
      <c r="M415" t="s">
        <v>44</v>
      </c>
      <c r="N415">
        <v>10</v>
      </c>
      <c r="O415">
        <v>2</v>
      </c>
      <c r="P415">
        <v>0</v>
      </c>
      <c r="Q415">
        <v>578.2726045883941</v>
      </c>
      <c r="R415">
        <v>2.699055330634278</v>
      </c>
      <c r="S415">
        <v>214.25</v>
      </c>
      <c r="T415">
        <v>0</v>
      </c>
      <c r="U415">
        <v>0</v>
      </c>
      <c r="V415">
        <v>0</v>
      </c>
      <c r="W415">
        <v>7.44716835960004</v>
      </c>
      <c r="X415">
        <v>0</v>
      </c>
    </row>
    <row r="416" spans="1:24">
      <c r="A416" t="s">
        <v>1287</v>
      </c>
      <c r="B416" t="s">
        <v>1288</v>
      </c>
      <c r="C416" t="s">
        <v>35</v>
      </c>
      <c r="D416">
        <v>5.757</v>
      </c>
      <c r="E416">
        <v>1496</v>
      </c>
      <c r="F416">
        <v>16</v>
      </c>
      <c r="G416" t="s">
        <v>62</v>
      </c>
      <c r="H416" t="s">
        <v>1289</v>
      </c>
      <c r="I416" t="s">
        <v>29</v>
      </c>
      <c r="J416" t="s">
        <v>30</v>
      </c>
      <c r="K416" t="s">
        <v>30</v>
      </c>
      <c r="L416" t="s">
        <v>30</v>
      </c>
      <c r="M416" t="s">
        <v>76</v>
      </c>
      <c r="N416">
        <v>10</v>
      </c>
      <c r="O416">
        <v>2</v>
      </c>
      <c r="P416">
        <v>0</v>
      </c>
      <c r="Q416">
        <v>259.8575647038388</v>
      </c>
      <c r="R416">
        <v>2.779225290950148</v>
      </c>
      <c r="S416">
        <v>93.5</v>
      </c>
      <c r="T416">
        <v>0</v>
      </c>
      <c r="U416">
        <v>0</v>
      </c>
      <c r="V416">
        <v>0</v>
      </c>
      <c r="W416">
        <v>7.311218384419629</v>
      </c>
      <c r="X416">
        <v>0</v>
      </c>
    </row>
    <row r="417" spans="1:24">
      <c r="A417" t="s">
        <v>1290</v>
      </c>
      <c r="B417" t="s">
        <v>1291</v>
      </c>
      <c r="C417" t="s">
        <v>35</v>
      </c>
      <c r="D417">
        <v>9.692</v>
      </c>
      <c r="E417">
        <v>4123</v>
      </c>
      <c r="F417">
        <v>23</v>
      </c>
      <c r="G417" t="s">
        <v>27</v>
      </c>
      <c r="H417" t="s">
        <v>1292</v>
      </c>
      <c r="I417" t="s">
        <v>29</v>
      </c>
      <c r="J417" t="s">
        <v>30</v>
      </c>
      <c r="K417" t="s">
        <v>30</v>
      </c>
      <c r="L417" t="s">
        <v>38</v>
      </c>
      <c r="M417" t="s">
        <v>44</v>
      </c>
      <c r="N417">
        <v>10</v>
      </c>
      <c r="O417">
        <v>2</v>
      </c>
      <c r="P417">
        <v>0</v>
      </c>
      <c r="Q417">
        <v>425.402393726785</v>
      </c>
      <c r="R417">
        <v>2.373091209244738</v>
      </c>
      <c r="S417">
        <v>179.2608695652174</v>
      </c>
      <c r="T417">
        <v>0</v>
      </c>
      <c r="U417">
        <v>0</v>
      </c>
      <c r="V417">
        <v>0</v>
      </c>
      <c r="W417">
        <v>8.32457884513685</v>
      </c>
      <c r="X417">
        <v>0</v>
      </c>
    </row>
    <row r="418" spans="1:24">
      <c r="A418" t="s">
        <v>1293</v>
      </c>
      <c r="B418" t="s">
        <v>1294</v>
      </c>
      <c r="C418" t="s">
        <v>26</v>
      </c>
      <c r="D418">
        <v>1.525</v>
      </c>
      <c r="E418">
        <v>1281</v>
      </c>
      <c r="F418">
        <v>17</v>
      </c>
      <c r="G418" t="s">
        <v>47</v>
      </c>
      <c r="H418" t="s">
        <v>1295</v>
      </c>
      <c r="I418" t="s">
        <v>29</v>
      </c>
      <c r="J418" t="s">
        <v>31</v>
      </c>
      <c r="K418" t="s">
        <v>30</v>
      </c>
      <c r="L418" t="s">
        <v>31</v>
      </c>
      <c r="M418" t="s">
        <v>97</v>
      </c>
      <c r="N418">
        <v>10</v>
      </c>
      <c r="O418">
        <v>2</v>
      </c>
      <c r="P418">
        <v>0</v>
      </c>
      <c r="Q418">
        <v>840</v>
      </c>
      <c r="R418">
        <v>11.14754098360656</v>
      </c>
      <c r="S418">
        <v>75.35294117647059</v>
      </c>
      <c r="T418">
        <v>0</v>
      </c>
      <c r="U418">
        <v>0</v>
      </c>
      <c r="V418">
        <v>0</v>
      </c>
      <c r="W418">
        <v>7.156176637480615</v>
      </c>
      <c r="X418">
        <v>0</v>
      </c>
    </row>
    <row r="419" spans="1:24">
      <c r="A419" t="s">
        <v>1296</v>
      </c>
      <c r="B419" t="s">
        <v>1297</v>
      </c>
      <c r="C419" t="s">
        <v>35</v>
      </c>
      <c r="D419">
        <v>3.285</v>
      </c>
      <c r="E419">
        <v>3265</v>
      </c>
      <c r="F419">
        <v>22</v>
      </c>
      <c r="G419" t="s">
        <v>47</v>
      </c>
      <c r="H419" t="s">
        <v>1298</v>
      </c>
      <c r="I419" t="s">
        <v>29</v>
      </c>
      <c r="J419" t="s">
        <v>31</v>
      </c>
      <c r="K419" t="s">
        <v>30</v>
      </c>
      <c r="L419" t="s">
        <v>30</v>
      </c>
      <c r="M419" t="s">
        <v>32</v>
      </c>
      <c r="N419">
        <v>10</v>
      </c>
      <c r="O419">
        <v>2</v>
      </c>
      <c r="P419">
        <v>0</v>
      </c>
      <c r="Q419">
        <v>993.9117199391172</v>
      </c>
      <c r="R419">
        <v>6.69710806697108</v>
      </c>
      <c r="S419">
        <v>148.4090909090909</v>
      </c>
      <c r="T419">
        <v>0</v>
      </c>
      <c r="U419">
        <v>0</v>
      </c>
      <c r="V419">
        <v>0</v>
      </c>
      <c r="W419">
        <v>8.09132127353041</v>
      </c>
      <c r="X419">
        <v>0</v>
      </c>
    </row>
    <row r="420" spans="1:24">
      <c r="A420" t="s">
        <v>1299</v>
      </c>
      <c r="B420" t="s">
        <v>1300</v>
      </c>
      <c r="C420" t="s">
        <v>35</v>
      </c>
      <c r="D420">
        <v>5.74</v>
      </c>
      <c r="E420">
        <v>11654</v>
      </c>
      <c r="F420">
        <v>14</v>
      </c>
      <c r="G420" t="s">
        <v>36</v>
      </c>
      <c r="H420" t="s">
        <v>1301</v>
      </c>
      <c r="I420" t="s">
        <v>29</v>
      </c>
      <c r="J420" t="s">
        <v>38</v>
      </c>
      <c r="K420" t="s">
        <v>31</v>
      </c>
      <c r="L420" t="s">
        <v>30</v>
      </c>
      <c r="M420" t="s">
        <v>32</v>
      </c>
      <c r="N420">
        <v>10</v>
      </c>
      <c r="O420">
        <v>2</v>
      </c>
      <c r="P420">
        <v>0</v>
      </c>
      <c r="Q420">
        <v>2030.313588850174</v>
      </c>
      <c r="R420">
        <v>2.439024390243902</v>
      </c>
      <c r="S420">
        <v>832.4285714285714</v>
      </c>
      <c r="T420">
        <v>0</v>
      </c>
      <c r="U420">
        <v>0</v>
      </c>
      <c r="V420">
        <v>1</v>
      </c>
      <c r="W420">
        <v>9.363490551469855</v>
      </c>
      <c r="X420">
        <v>0</v>
      </c>
    </row>
    <row r="421" spans="1:24">
      <c r="A421" t="s">
        <v>1302</v>
      </c>
      <c r="B421" t="s">
        <v>1303</v>
      </c>
      <c r="C421" t="s">
        <v>35</v>
      </c>
      <c r="D421">
        <v>3.639</v>
      </c>
      <c r="E421">
        <v>1430</v>
      </c>
      <c r="F421">
        <v>13</v>
      </c>
      <c r="G421" t="s">
        <v>62</v>
      </c>
      <c r="H421" t="s">
        <v>1304</v>
      </c>
      <c r="I421" t="s">
        <v>29</v>
      </c>
      <c r="J421" t="s">
        <v>30</v>
      </c>
      <c r="K421" t="s">
        <v>31</v>
      </c>
      <c r="L421" t="s">
        <v>38</v>
      </c>
      <c r="M421" t="s">
        <v>44</v>
      </c>
      <c r="N421">
        <v>10</v>
      </c>
      <c r="O421">
        <v>2</v>
      </c>
      <c r="P421">
        <v>0</v>
      </c>
      <c r="Q421">
        <v>392.9651003022809</v>
      </c>
      <c r="R421">
        <v>3.572410002748008</v>
      </c>
      <c r="S421">
        <v>110</v>
      </c>
      <c r="T421">
        <v>0</v>
      </c>
      <c r="U421">
        <v>0</v>
      </c>
      <c r="V421">
        <v>0</v>
      </c>
      <c r="W421">
        <v>7.266128779556451</v>
      </c>
      <c r="X421">
        <v>0</v>
      </c>
    </row>
    <row r="422" spans="1:24">
      <c r="A422" t="s">
        <v>1305</v>
      </c>
      <c r="B422" t="s">
        <v>1306</v>
      </c>
      <c r="C422" t="s">
        <v>35</v>
      </c>
      <c r="D422">
        <v>2.086</v>
      </c>
      <c r="E422">
        <v>2684</v>
      </c>
      <c r="F422">
        <v>19</v>
      </c>
      <c r="G422" t="s">
        <v>36</v>
      </c>
      <c r="H422" t="s">
        <v>1307</v>
      </c>
      <c r="I422" t="s">
        <v>29</v>
      </c>
      <c r="J422" t="s">
        <v>38</v>
      </c>
      <c r="K422" t="s">
        <v>30</v>
      </c>
      <c r="L422" t="s">
        <v>38</v>
      </c>
      <c r="M422" t="s">
        <v>97</v>
      </c>
      <c r="N422">
        <v>11</v>
      </c>
      <c r="O422">
        <v>2</v>
      </c>
      <c r="P422">
        <v>0</v>
      </c>
      <c r="Q422">
        <v>1286.673058485139</v>
      </c>
      <c r="R422">
        <v>9.108341323106425</v>
      </c>
      <c r="S422">
        <v>141.2631578947368</v>
      </c>
      <c r="T422">
        <v>0</v>
      </c>
      <c r="U422">
        <v>0</v>
      </c>
      <c r="V422">
        <v>0</v>
      </c>
      <c r="W422">
        <v>7.895436006942965</v>
      </c>
      <c r="X422">
        <v>0</v>
      </c>
    </row>
    <row r="423" spans="1:24">
      <c r="A423" t="s">
        <v>1308</v>
      </c>
      <c r="B423" t="s">
        <v>1309</v>
      </c>
      <c r="C423" t="s">
        <v>35</v>
      </c>
      <c r="D423">
        <v>6.972</v>
      </c>
      <c r="E423">
        <v>1919</v>
      </c>
      <c r="F423">
        <v>16</v>
      </c>
      <c r="G423" t="s">
        <v>62</v>
      </c>
      <c r="H423" t="s">
        <v>1310</v>
      </c>
      <c r="I423" t="s">
        <v>29</v>
      </c>
      <c r="J423" t="s">
        <v>30</v>
      </c>
      <c r="K423" t="s">
        <v>30</v>
      </c>
      <c r="L423" t="s">
        <v>30</v>
      </c>
      <c r="M423" t="s">
        <v>97</v>
      </c>
      <c r="N423">
        <v>11</v>
      </c>
      <c r="O423">
        <v>2</v>
      </c>
      <c r="P423">
        <v>0</v>
      </c>
      <c r="Q423">
        <v>275.2438324727481</v>
      </c>
      <c r="R423">
        <v>2.294893861158921</v>
      </c>
      <c r="S423">
        <v>119.9375</v>
      </c>
      <c r="T423">
        <v>0</v>
      </c>
      <c r="U423">
        <v>0</v>
      </c>
      <c r="V423">
        <v>0</v>
      </c>
      <c r="W423">
        <v>7.560080465021827</v>
      </c>
      <c r="X423">
        <v>0</v>
      </c>
    </row>
    <row r="424" spans="1:24">
      <c r="A424" t="s">
        <v>1311</v>
      </c>
      <c r="B424" t="s">
        <v>1312</v>
      </c>
      <c r="C424" t="s">
        <v>26</v>
      </c>
      <c r="D424">
        <v>7.643</v>
      </c>
      <c r="E424">
        <v>662</v>
      </c>
      <c r="F424">
        <v>18</v>
      </c>
      <c r="G424" t="s">
        <v>27</v>
      </c>
      <c r="H424" t="s">
        <v>1313</v>
      </c>
      <c r="I424" t="s">
        <v>29</v>
      </c>
      <c r="J424" t="s">
        <v>30</v>
      </c>
      <c r="K424" t="s">
        <v>30</v>
      </c>
      <c r="L424" t="s">
        <v>31</v>
      </c>
      <c r="M424" t="s">
        <v>32</v>
      </c>
      <c r="N424">
        <v>11</v>
      </c>
      <c r="O424">
        <v>2</v>
      </c>
      <c r="P424">
        <v>0</v>
      </c>
      <c r="Q424">
        <v>86.61520345414105</v>
      </c>
      <c r="R424">
        <v>2.355096166426796</v>
      </c>
      <c r="S424">
        <v>36.77777777777778</v>
      </c>
      <c r="T424">
        <v>0</v>
      </c>
      <c r="U424">
        <v>0</v>
      </c>
      <c r="V424">
        <v>0</v>
      </c>
      <c r="W424">
        <v>6.496774990185863</v>
      </c>
      <c r="X424">
        <v>0</v>
      </c>
    </row>
    <row r="425" spans="1:24">
      <c r="A425" t="s">
        <v>1314</v>
      </c>
      <c r="B425" t="s">
        <v>1315</v>
      </c>
      <c r="C425" t="s">
        <v>35</v>
      </c>
      <c r="D425">
        <v>1.615</v>
      </c>
      <c r="E425">
        <v>412</v>
      </c>
      <c r="F425">
        <v>18</v>
      </c>
      <c r="G425" t="s">
        <v>36</v>
      </c>
      <c r="H425" t="s">
        <v>1316</v>
      </c>
      <c r="I425" t="s">
        <v>29</v>
      </c>
      <c r="J425" t="s">
        <v>38</v>
      </c>
      <c r="K425" t="s">
        <v>30</v>
      </c>
      <c r="L425" t="s">
        <v>31</v>
      </c>
      <c r="M425" t="s">
        <v>97</v>
      </c>
      <c r="N425">
        <v>11</v>
      </c>
      <c r="O425">
        <v>2</v>
      </c>
      <c r="P425">
        <v>0</v>
      </c>
      <c r="Q425">
        <v>255.1083591331269</v>
      </c>
      <c r="R425">
        <v>11.14551083591331</v>
      </c>
      <c r="S425">
        <v>22.88888888888889</v>
      </c>
      <c r="T425">
        <v>0</v>
      </c>
      <c r="U425">
        <v>0</v>
      </c>
      <c r="V425">
        <v>0</v>
      </c>
      <c r="W425">
        <v>6.023447592961033</v>
      </c>
      <c r="X425">
        <v>0</v>
      </c>
    </row>
    <row r="426" spans="1:24">
      <c r="A426" t="s">
        <v>1317</v>
      </c>
      <c r="B426" t="s">
        <v>1318</v>
      </c>
      <c r="C426" t="s">
        <v>26</v>
      </c>
      <c r="D426">
        <v>1.128</v>
      </c>
      <c r="E426">
        <v>797</v>
      </c>
      <c r="F426">
        <v>20</v>
      </c>
      <c r="G426" t="s">
        <v>36</v>
      </c>
      <c r="H426" t="s">
        <v>1319</v>
      </c>
      <c r="I426" t="s">
        <v>29</v>
      </c>
      <c r="J426" t="s">
        <v>38</v>
      </c>
      <c r="K426" t="s">
        <v>30</v>
      </c>
      <c r="L426" t="s">
        <v>30</v>
      </c>
      <c r="M426" t="s">
        <v>44</v>
      </c>
      <c r="N426">
        <v>11</v>
      </c>
      <c r="O426">
        <v>2</v>
      </c>
      <c r="P426">
        <v>0</v>
      </c>
      <c r="Q426">
        <v>706.5602836879433</v>
      </c>
      <c r="R426">
        <v>17.73049645390071</v>
      </c>
      <c r="S426">
        <v>39.85</v>
      </c>
      <c r="T426">
        <v>0</v>
      </c>
      <c r="U426">
        <v>0</v>
      </c>
      <c r="V426">
        <v>0</v>
      </c>
      <c r="W426">
        <v>6.682108597449809</v>
      </c>
      <c r="X426">
        <v>0</v>
      </c>
    </row>
    <row r="427" spans="1:24">
      <c r="A427" t="s">
        <v>1320</v>
      </c>
      <c r="B427" t="s">
        <v>1321</v>
      </c>
      <c r="C427" t="s">
        <v>26</v>
      </c>
      <c r="D427">
        <v>2.58</v>
      </c>
      <c r="E427">
        <v>3940</v>
      </c>
      <c r="F427">
        <v>17</v>
      </c>
      <c r="G427" t="s">
        <v>36</v>
      </c>
      <c r="H427" t="s">
        <v>1322</v>
      </c>
      <c r="I427" t="s">
        <v>29</v>
      </c>
      <c r="J427" t="s">
        <v>38</v>
      </c>
      <c r="K427" t="s">
        <v>30</v>
      </c>
      <c r="L427" t="s">
        <v>31</v>
      </c>
      <c r="M427" t="s">
        <v>44</v>
      </c>
      <c r="N427">
        <v>11</v>
      </c>
      <c r="O427">
        <v>2</v>
      </c>
      <c r="P427">
        <v>0</v>
      </c>
      <c r="Q427">
        <v>1527.131782945736</v>
      </c>
      <c r="R427">
        <v>6.589147286821706</v>
      </c>
      <c r="S427">
        <v>231.7647058823529</v>
      </c>
      <c r="T427">
        <v>0</v>
      </c>
      <c r="U427">
        <v>0</v>
      </c>
      <c r="V427">
        <v>0</v>
      </c>
      <c r="W427">
        <v>8.279189777195004</v>
      </c>
      <c r="X427">
        <v>0</v>
      </c>
    </row>
    <row r="428" spans="1:24">
      <c r="A428" t="s">
        <v>1323</v>
      </c>
      <c r="B428" t="s">
        <v>1324</v>
      </c>
      <c r="C428" t="s">
        <v>26</v>
      </c>
      <c r="D428">
        <v>4.461</v>
      </c>
      <c r="E428">
        <v>3504</v>
      </c>
      <c r="F428">
        <v>16</v>
      </c>
      <c r="G428" t="s">
        <v>27</v>
      </c>
      <c r="H428" t="s">
        <v>1325</v>
      </c>
      <c r="I428" t="s">
        <v>29</v>
      </c>
      <c r="J428" t="s">
        <v>30</v>
      </c>
      <c r="K428" t="s">
        <v>31</v>
      </c>
      <c r="L428" t="s">
        <v>31</v>
      </c>
      <c r="M428" t="s">
        <v>44</v>
      </c>
      <c r="N428">
        <v>11</v>
      </c>
      <c r="O428">
        <v>2</v>
      </c>
      <c r="P428">
        <v>0</v>
      </c>
      <c r="Q428">
        <v>785.4741089441828</v>
      </c>
      <c r="R428">
        <v>3.586639766868415</v>
      </c>
      <c r="S428">
        <v>219</v>
      </c>
      <c r="T428">
        <v>0</v>
      </c>
      <c r="U428">
        <v>0</v>
      </c>
      <c r="V428">
        <v>0</v>
      </c>
      <c r="W428">
        <v>8.16194579946869</v>
      </c>
      <c r="X428">
        <v>0</v>
      </c>
    </row>
    <row r="429" spans="1:24">
      <c r="A429" t="s">
        <v>1326</v>
      </c>
      <c r="B429" t="s">
        <v>1327</v>
      </c>
      <c r="C429" t="s">
        <v>35</v>
      </c>
      <c r="D429">
        <v>7.628</v>
      </c>
      <c r="E429">
        <v>8297</v>
      </c>
      <c r="F429">
        <v>16</v>
      </c>
      <c r="G429" t="s">
        <v>62</v>
      </c>
      <c r="H429" t="s">
        <v>1328</v>
      </c>
      <c r="I429" t="s">
        <v>29</v>
      </c>
      <c r="J429" t="s">
        <v>30</v>
      </c>
      <c r="K429" t="s">
        <v>30</v>
      </c>
      <c r="L429" t="s">
        <v>30</v>
      </c>
      <c r="M429" t="s">
        <v>97</v>
      </c>
      <c r="N429">
        <v>11</v>
      </c>
      <c r="O429">
        <v>2</v>
      </c>
      <c r="P429">
        <v>0</v>
      </c>
      <c r="Q429">
        <v>1087.703198741479</v>
      </c>
      <c r="R429">
        <v>2.097535395909806</v>
      </c>
      <c r="S429">
        <v>518.5625</v>
      </c>
      <c r="T429">
        <v>0</v>
      </c>
      <c r="U429">
        <v>0</v>
      </c>
      <c r="V429">
        <v>0</v>
      </c>
      <c r="W429">
        <v>9.023769800892811</v>
      </c>
      <c r="X429">
        <v>0</v>
      </c>
    </row>
    <row r="430" spans="1:24">
      <c r="A430" t="s">
        <v>1329</v>
      </c>
      <c r="B430" t="s">
        <v>1330</v>
      </c>
      <c r="C430" t="s">
        <v>26</v>
      </c>
      <c r="D430">
        <v>1.087</v>
      </c>
      <c r="E430">
        <v>5257</v>
      </c>
      <c r="F430">
        <v>15</v>
      </c>
      <c r="G430" t="s">
        <v>47</v>
      </c>
      <c r="H430" t="s">
        <v>1331</v>
      </c>
      <c r="I430" t="s">
        <v>29</v>
      </c>
      <c r="J430" t="s">
        <v>31</v>
      </c>
      <c r="K430" t="s">
        <v>30</v>
      </c>
      <c r="L430" t="s">
        <v>30</v>
      </c>
      <c r="M430" t="s">
        <v>76</v>
      </c>
      <c r="N430">
        <v>11</v>
      </c>
      <c r="O430">
        <v>2</v>
      </c>
      <c r="P430">
        <v>0</v>
      </c>
      <c r="Q430">
        <v>4836.246550137995</v>
      </c>
      <c r="R430">
        <v>13.79944802207912</v>
      </c>
      <c r="S430">
        <v>350.4666666666666</v>
      </c>
      <c r="T430">
        <v>0</v>
      </c>
      <c r="U430">
        <v>0</v>
      </c>
      <c r="V430">
        <v>0</v>
      </c>
      <c r="W430">
        <v>8.567506005289827</v>
      </c>
      <c r="X430">
        <v>0</v>
      </c>
    </row>
    <row r="431" spans="1:24">
      <c r="A431" t="s">
        <v>1332</v>
      </c>
      <c r="B431" t="s">
        <v>1333</v>
      </c>
      <c r="C431" t="s">
        <v>130</v>
      </c>
      <c r="D431">
        <v>4.242</v>
      </c>
      <c r="E431">
        <v>3261</v>
      </c>
      <c r="F431">
        <v>17</v>
      </c>
      <c r="G431" t="s">
        <v>36</v>
      </c>
      <c r="H431" t="s">
        <v>1334</v>
      </c>
      <c r="I431" t="s">
        <v>29</v>
      </c>
      <c r="J431" t="s">
        <v>38</v>
      </c>
      <c r="K431" t="s">
        <v>30</v>
      </c>
      <c r="L431" t="s">
        <v>30</v>
      </c>
      <c r="M431" t="s">
        <v>44</v>
      </c>
      <c r="N431">
        <v>11</v>
      </c>
      <c r="O431">
        <v>2</v>
      </c>
      <c r="P431">
        <v>0</v>
      </c>
      <c r="Q431">
        <v>768.7411598302688</v>
      </c>
      <c r="R431">
        <v>4.007543611504008</v>
      </c>
      <c r="S431">
        <v>191.8235294117647</v>
      </c>
      <c r="T431">
        <v>0</v>
      </c>
      <c r="U431">
        <v>0</v>
      </c>
      <c r="V431">
        <v>0</v>
      </c>
      <c r="W431">
        <v>8.09009578318096</v>
      </c>
      <c r="X431">
        <v>0</v>
      </c>
    </row>
    <row r="432" spans="1:24">
      <c r="A432" t="s">
        <v>1335</v>
      </c>
      <c r="B432" t="s">
        <v>1336</v>
      </c>
      <c r="C432" t="s">
        <v>35</v>
      </c>
      <c r="D432">
        <v>0.246</v>
      </c>
      <c r="E432">
        <v>3000</v>
      </c>
      <c r="F432">
        <v>20</v>
      </c>
      <c r="G432" t="s">
        <v>36</v>
      </c>
      <c r="H432" t="s">
        <v>1337</v>
      </c>
      <c r="I432" t="s">
        <v>29</v>
      </c>
      <c r="J432" t="s">
        <v>38</v>
      </c>
      <c r="K432" t="s">
        <v>30</v>
      </c>
      <c r="L432" t="s">
        <v>31</v>
      </c>
      <c r="M432" t="s">
        <v>44</v>
      </c>
      <c r="N432">
        <v>11</v>
      </c>
      <c r="O432">
        <v>2</v>
      </c>
      <c r="P432">
        <v>0</v>
      </c>
      <c r="Q432">
        <v>12195.12195121951</v>
      </c>
      <c r="R432">
        <v>81.30081300813008</v>
      </c>
      <c r="S432">
        <v>150</v>
      </c>
      <c r="T432">
        <v>0</v>
      </c>
      <c r="U432">
        <v>0</v>
      </c>
      <c r="V432">
        <v>0</v>
      </c>
      <c r="W432">
        <v>8.006700845440367</v>
      </c>
      <c r="X432">
        <v>0</v>
      </c>
    </row>
    <row r="433" spans="1:24">
      <c r="A433" t="s">
        <v>1338</v>
      </c>
      <c r="B433" t="s">
        <v>1339</v>
      </c>
      <c r="C433" t="s">
        <v>35</v>
      </c>
      <c r="D433">
        <v>1.98</v>
      </c>
      <c r="E433">
        <v>3862</v>
      </c>
      <c r="F433">
        <v>24</v>
      </c>
      <c r="G433" t="s">
        <v>36</v>
      </c>
      <c r="H433" t="s">
        <v>1340</v>
      </c>
      <c r="I433" t="s">
        <v>29</v>
      </c>
      <c r="J433" t="s">
        <v>38</v>
      </c>
      <c r="K433" t="s">
        <v>30</v>
      </c>
      <c r="L433" t="s">
        <v>31</v>
      </c>
      <c r="M433" t="s">
        <v>76</v>
      </c>
      <c r="N433">
        <v>11</v>
      </c>
      <c r="O433">
        <v>2</v>
      </c>
      <c r="P433">
        <v>0</v>
      </c>
      <c r="Q433">
        <v>1950.50505050505</v>
      </c>
      <c r="R433">
        <v>12.12121212121212</v>
      </c>
      <c r="S433">
        <v>160.9166666666667</v>
      </c>
      <c r="T433">
        <v>0</v>
      </c>
      <c r="U433">
        <v>0</v>
      </c>
      <c r="V433">
        <v>0</v>
      </c>
      <c r="W433">
        <v>8.259199362666282</v>
      </c>
      <c r="X433">
        <v>0</v>
      </c>
    </row>
    <row r="434" spans="1:24">
      <c r="A434" t="s">
        <v>1341</v>
      </c>
      <c r="B434" t="s">
        <v>1342</v>
      </c>
      <c r="C434" t="s">
        <v>26</v>
      </c>
      <c r="D434">
        <v>8.891</v>
      </c>
      <c r="E434">
        <v>8148</v>
      </c>
      <c r="F434">
        <v>22</v>
      </c>
      <c r="G434" t="s">
        <v>62</v>
      </c>
      <c r="H434" t="s">
        <v>1343</v>
      </c>
      <c r="I434" t="s">
        <v>29</v>
      </c>
      <c r="J434" t="s">
        <v>30</v>
      </c>
      <c r="K434" t="s">
        <v>31</v>
      </c>
      <c r="L434" t="s">
        <v>30</v>
      </c>
      <c r="M434" t="s">
        <v>44</v>
      </c>
      <c r="N434">
        <v>12</v>
      </c>
      <c r="O434">
        <v>2</v>
      </c>
      <c r="P434">
        <v>0</v>
      </c>
      <c r="Q434">
        <v>916.432347317512</v>
      </c>
      <c r="R434">
        <v>2.47441232707232</v>
      </c>
      <c r="S434">
        <v>370.3636363636364</v>
      </c>
      <c r="T434">
        <v>0</v>
      </c>
      <c r="U434">
        <v>0</v>
      </c>
      <c r="V434">
        <v>0</v>
      </c>
      <c r="W434">
        <v>9.00565049932022</v>
      </c>
      <c r="X434">
        <v>0</v>
      </c>
    </row>
    <row r="435" spans="1:24">
      <c r="A435" t="s">
        <v>1344</v>
      </c>
      <c r="B435" t="s">
        <v>1345</v>
      </c>
      <c r="C435" t="s">
        <v>26</v>
      </c>
      <c r="D435">
        <v>2.69</v>
      </c>
      <c r="E435">
        <v>2490</v>
      </c>
      <c r="F435">
        <v>12</v>
      </c>
      <c r="G435" t="s">
        <v>27</v>
      </c>
      <c r="H435" t="s">
        <v>1346</v>
      </c>
      <c r="I435" t="s">
        <v>29</v>
      </c>
      <c r="J435" t="s">
        <v>30</v>
      </c>
      <c r="K435" t="s">
        <v>30</v>
      </c>
      <c r="L435" t="s">
        <v>31</v>
      </c>
      <c r="M435" t="s">
        <v>44</v>
      </c>
      <c r="N435">
        <v>12</v>
      </c>
      <c r="O435">
        <v>2</v>
      </c>
      <c r="P435">
        <v>0</v>
      </c>
      <c r="Q435">
        <v>925.6505576208178</v>
      </c>
      <c r="R435">
        <v>4.46096654275093</v>
      </c>
      <c r="S435">
        <v>207.5</v>
      </c>
      <c r="T435">
        <v>0</v>
      </c>
      <c r="U435">
        <v>0</v>
      </c>
      <c r="V435">
        <v>0</v>
      </c>
      <c r="W435">
        <v>7.820439515262181</v>
      </c>
      <c r="X435">
        <v>0</v>
      </c>
    </row>
    <row r="436" spans="1:24">
      <c r="A436" t="s">
        <v>1347</v>
      </c>
      <c r="B436" t="s">
        <v>1348</v>
      </c>
      <c r="C436" t="s">
        <v>26</v>
      </c>
      <c r="D436">
        <v>4.076</v>
      </c>
      <c r="E436">
        <v>628</v>
      </c>
      <c r="F436">
        <v>19</v>
      </c>
      <c r="G436" t="s">
        <v>47</v>
      </c>
      <c r="H436" t="s">
        <v>1349</v>
      </c>
      <c r="I436" t="s">
        <v>29</v>
      </c>
      <c r="J436" t="s">
        <v>31</v>
      </c>
      <c r="K436" t="s">
        <v>30</v>
      </c>
      <c r="L436" t="s">
        <v>31</v>
      </c>
      <c r="M436" t="s">
        <v>83</v>
      </c>
      <c r="N436">
        <v>12</v>
      </c>
      <c r="O436">
        <v>2</v>
      </c>
      <c r="P436">
        <v>0</v>
      </c>
      <c r="Q436">
        <v>154.072620215898</v>
      </c>
      <c r="R436">
        <v>4.661432777232581</v>
      </c>
      <c r="S436">
        <v>33.05263157894737</v>
      </c>
      <c r="T436">
        <v>0</v>
      </c>
      <c r="U436">
        <v>0</v>
      </c>
      <c r="V436">
        <v>0</v>
      </c>
      <c r="W436">
        <v>6.444131256700441</v>
      </c>
      <c r="X436">
        <v>0</v>
      </c>
    </row>
    <row r="437" spans="1:24">
      <c r="A437" t="s">
        <v>1350</v>
      </c>
      <c r="B437" t="s">
        <v>1351</v>
      </c>
      <c r="C437" t="s">
        <v>35</v>
      </c>
      <c r="D437">
        <v>0.137</v>
      </c>
      <c r="E437">
        <v>589</v>
      </c>
      <c r="F437">
        <v>3</v>
      </c>
      <c r="G437" t="s">
        <v>27</v>
      </c>
      <c r="H437" t="s">
        <v>1352</v>
      </c>
      <c r="I437" t="s">
        <v>90</v>
      </c>
      <c r="J437" t="s">
        <v>30</v>
      </c>
      <c r="K437" t="s">
        <v>30</v>
      </c>
      <c r="L437" t="s">
        <v>31</v>
      </c>
      <c r="M437" t="s">
        <v>97</v>
      </c>
      <c r="N437">
        <v>12</v>
      </c>
      <c r="O437">
        <v>2</v>
      </c>
      <c r="P437">
        <v>0</v>
      </c>
      <c r="Q437">
        <v>4299.2700729927</v>
      </c>
      <c r="R437">
        <v>21.8978102189781</v>
      </c>
      <c r="S437">
        <v>196.3333333333333</v>
      </c>
      <c r="T437">
        <v>0</v>
      </c>
      <c r="U437">
        <v>0</v>
      </c>
      <c r="V437">
        <v>0</v>
      </c>
      <c r="W437">
        <v>6.380122536899765</v>
      </c>
      <c r="X437">
        <v>1</v>
      </c>
    </row>
    <row r="438" spans="1:24">
      <c r="A438" t="s">
        <v>1353</v>
      </c>
      <c r="B438" t="s">
        <v>1354</v>
      </c>
      <c r="C438" t="s">
        <v>35</v>
      </c>
      <c r="D438">
        <v>1.779</v>
      </c>
      <c r="E438">
        <v>3884</v>
      </c>
      <c r="F438">
        <v>16</v>
      </c>
      <c r="G438" t="s">
        <v>47</v>
      </c>
      <c r="H438" t="s">
        <v>1355</v>
      </c>
      <c r="I438" t="s">
        <v>29</v>
      </c>
      <c r="J438" t="s">
        <v>31</v>
      </c>
      <c r="K438" t="s">
        <v>30</v>
      </c>
      <c r="L438" t="s">
        <v>31</v>
      </c>
      <c r="M438" t="s">
        <v>44</v>
      </c>
      <c r="N438">
        <v>12</v>
      </c>
      <c r="O438">
        <v>2</v>
      </c>
      <c r="P438">
        <v>0</v>
      </c>
      <c r="Q438">
        <v>2183.249016301293</v>
      </c>
      <c r="R438">
        <v>8.993816750983699</v>
      </c>
      <c r="S438">
        <v>242.75</v>
      </c>
      <c r="T438">
        <v>0</v>
      </c>
      <c r="U438">
        <v>0</v>
      </c>
      <c r="V438">
        <v>0</v>
      </c>
      <c r="W438">
        <v>8.264878262801748</v>
      </c>
      <c r="X438">
        <v>0</v>
      </c>
    </row>
    <row r="439" spans="1:24">
      <c r="A439" t="s">
        <v>1356</v>
      </c>
      <c r="B439" t="s">
        <v>1357</v>
      </c>
      <c r="C439" t="s">
        <v>26</v>
      </c>
      <c r="D439">
        <v>3.86</v>
      </c>
      <c r="E439">
        <v>1334</v>
      </c>
      <c r="F439">
        <v>17</v>
      </c>
      <c r="G439" t="s">
        <v>36</v>
      </c>
      <c r="H439" t="s">
        <v>1358</v>
      </c>
      <c r="I439" t="s">
        <v>29</v>
      </c>
      <c r="J439" t="s">
        <v>38</v>
      </c>
      <c r="K439" t="s">
        <v>30</v>
      </c>
      <c r="L439" t="s">
        <v>30</v>
      </c>
      <c r="M439" t="s">
        <v>97</v>
      </c>
      <c r="N439">
        <v>12</v>
      </c>
      <c r="O439">
        <v>2</v>
      </c>
      <c r="P439">
        <v>0</v>
      </c>
      <c r="Q439">
        <v>345.5958549222798</v>
      </c>
      <c r="R439">
        <v>4.404145077720208</v>
      </c>
      <c r="S439">
        <v>78.47058823529412</v>
      </c>
      <c r="T439">
        <v>0</v>
      </c>
      <c r="U439">
        <v>0</v>
      </c>
      <c r="V439">
        <v>0</v>
      </c>
      <c r="W439">
        <v>7.19668657083435</v>
      </c>
      <c r="X439">
        <v>0</v>
      </c>
    </row>
    <row r="440" spans="1:24">
      <c r="A440" t="s">
        <v>1359</v>
      </c>
      <c r="B440" t="s">
        <v>1360</v>
      </c>
      <c r="C440" t="s">
        <v>35</v>
      </c>
      <c r="D440">
        <v>1.239</v>
      </c>
      <c r="E440">
        <v>1606</v>
      </c>
      <c r="F440">
        <v>5</v>
      </c>
      <c r="G440" t="s">
        <v>36</v>
      </c>
      <c r="H440" t="s">
        <v>1361</v>
      </c>
      <c r="I440" t="s">
        <v>29</v>
      </c>
      <c r="J440" t="s">
        <v>38</v>
      </c>
      <c r="K440" t="s">
        <v>30</v>
      </c>
      <c r="L440" t="s">
        <v>31</v>
      </c>
      <c r="M440" t="s">
        <v>97</v>
      </c>
      <c r="N440">
        <v>12</v>
      </c>
      <c r="O440">
        <v>2</v>
      </c>
      <c r="P440">
        <v>0</v>
      </c>
      <c r="Q440">
        <v>1296.206618240516</v>
      </c>
      <c r="R440">
        <v>4.035512510088781</v>
      </c>
      <c r="S440">
        <v>321.2</v>
      </c>
      <c r="T440">
        <v>0</v>
      </c>
      <c r="U440">
        <v>0</v>
      </c>
      <c r="V440">
        <v>0</v>
      </c>
      <c r="W440">
        <v>7.382124365737512</v>
      </c>
      <c r="X440">
        <v>0</v>
      </c>
    </row>
    <row r="441" spans="1:24">
      <c r="A441" t="s">
        <v>1362</v>
      </c>
      <c r="B441" t="s">
        <v>1363</v>
      </c>
      <c r="C441" t="s">
        <v>35</v>
      </c>
      <c r="D441">
        <v>2.068</v>
      </c>
      <c r="E441">
        <v>3233</v>
      </c>
      <c r="F441">
        <v>18</v>
      </c>
      <c r="G441" t="s">
        <v>47</v>
      </c>
      <c r="H441" t="s">
        <v>1364</v>
      </c>
      <c r="I441" t="s">
        <v>29</v>
      </c>
      <c r="J441" t="s">
        <v>31</v>
      </c>
      <c r="K441" t="s">
        <v>30</v>
      </c>
      <c r="L441" t="s">
        <v>30</v>
      </c>
      <c r="M441" t="s">
        <v>76</v>
      </c>
      <c r="N441">
        <v>12</v>
      </c>
      <c r="O441">
        <v>2</v>
      </c>
      <c r="P441">
        <v>0</v>
      </c>
      <c r="Q441">
        <v>1563.346228239845</v>
      </c>
      <c r="R441">
        <v>8.704061895551257</v>
      </c>
      <c r="S441">
        <v>179.6111111111111</v>
      </c>
      <c r="T441">
        <v>0</v>
      </c>
      <c r="U441">
        <v>0</v>
      </c>
      <c r="V441">
        <v>0</v>
      </c>
      <c r="W441">
        <v>8.081475040137052</v>
      </c>
      <c r="X441">
        <v>0</v>
      </c>
    </row>
    <row r="442" spans="1:24">
      <c r="A442" t="s">
        <v>1365</v>
      </c>
      <c r="B442" t="s">
        <v>1366</v>
      </c>
      <c r="C442" t="s">
        <v>26</v>
      </c>
      <c r="D442">
        <v>1.023</v>
      </c>
      <c r="E442">
        <v>2833</v>
      </c>
      <c r="F442">
        <v>21</v>
      </c>
      <c r="G442" t="s">
        <v>36</v>
      </c>
      <c r="H442" t="s">
        <v>1367</v>
      </c>
      <c r="I442" t="s">
        <v>29</v>
      </c>
      <c r="J442" t="s">
        <v>38</v>
      </c>
      <c r="K442" t="s">
        <v>30</v>
      </c>
      <c r="L442" t="s">
        <v>30</v>
      </c>
      <c r="M442" t="s">
        <v>32</v>
      </c>
      <c r="N442">
        <v>12</v>
      </c>
      <c r="O442">
        <v>2</v>
      </c>
      <c r="P442">
        <v>0</v>
      </c>
      <c r="Q442">
        <v>2769.30596285435</v>
      </c>
      <c r="R442">
        <v>20.52785923753666</v>
      </c>
      <c r="S442">
        <v>134.9047619047619</v>
      </c>
      <c r="T442">
        <v>0</v>
      </c>
      <c r="U442">
        <v>0</v>
      </c>
      <c r="V442">
        <v>0</v>
      </c>
      <c r="W442">
        <v>7.949444420250626</v>
      </c>
      <c r="X442">
        <v>0</v>
      </c>
    </row>
    <row r="443" spans="1:24">
      <c r="A443" t="s">
        <v>1368</v>
      </c>
      <c r="B443" t="s">
        <v>1369</v>
      </c>
      <c r="C443" t="s">
        <v>35</v>
      </c>
      <c r="D443">
        <v>5.554</v>
      </c>
      <c r="E443">
        <v>4546</v>
      </c>
      <c r="F443">
        <v>18</v>
      </c>
      <c r="G443" t="s">
        <v>47</v>
      </c>
      <c r="H443" t="s">
        <v>1370</v>
      </c>
      <c r="I443" t="s">
        <v>29</v>
      </c>
      <c r="J443" t="s">
        <v>31</v>
      </c>
      <c r="K443" t="s">
        <v>30</v>
      </c>
      <c r="L443" t="s">
        <v>31</v>
      </c>
      <c r="M443" t="s">
        <v>76</v>
      </c>
      <c r="N443">
        <v>12</v>
      </c>
      <c r="O443">
        <v>2</v>
      </c>
      <c r="P443">
        <v>0</v>
      </c>
      <c r="Q443">
        <v>818.5091825711198</v>
      </c>
      <c r="R443">
        <v>3.240907454087144</v>
      </c>
      <c r="S443">
        <v>252.5555555555556</v>
      </c>
      <c r="T443">
        <v>0</v>
      </c>
      <c r="U443">
        <v>0</v>
      </c>
      <c r="V443">
        <v>0</v>
      </c>
      <c r="W443">
        <v>8.42222295382501</v>
      </c>
      <c r="X443">
        <v>0</v>
      </c>
    </row>
    <row r="444" spans="1:24">
      <c r="A444" t="s">
        <v>1371</v>
      </c>
      <c r="B444" t="s">
        <v>1372</v>
      </c>
      <c r="C444" t="s">
        <v>26</v>
      </c>
      <c r="D444">
        <v>2.269</v>
      </c>
      <c r="E444">
        <v>1386</v>
      </c>
      <c r="F444">
        <v>22</v>
      </c>
      <c r="G444" t="s">
        <v>36</v>
      </c>
      <c r="H444" t="s">
        <v>1373</v>
      </c>
      <c r="I444" t="s">
        <v>29</v>
      </c>
      <c r="J444" t="s">
        <v>38</v>
      </c>
      <c r="K444" t="s">
        <v>38</v>
      </c>
      <c r="L444" t="s">
        <v>31</v>
      </c>
      <c r="M444" t="s">
        <v>97</v>
      </c>
      <c r="N444">
        <v>12</v>
      </c>
      <c r="O444">
        <v>2</v>
      </c>
      <c r="P444">
        <v>0</v>
      </c>
      <c r="Q444">
        <v>610.8417805200529</v>
      </c>
      <c r="R444">
        <v>9.695901278096075</v>
      </c>
      <c r="S444">
        <v>63</v>
      </c>
      <c r="T444">
        <v>0</v>
      </c>
      <c r="U444">
        <v>0</v>
      </c>
      <c r="V444">
        <v>0</v>
      </c>
      <c r="W444">
        <v>7.234898420314831</v>
      </c>
      <c r="X444">
        <v>0</v>
      </c>
    </row>
    <row r="445" spans="1:24">
      <c r="A445" t="s">
        <v>1374</v>
      </c>
      <c r="B445" t="s">
        <v>1375</v>
      </c>
      <c r="C445" t="s">
        <v>35</v>
      </c>
      <c r="D445">
        <v>4.197</v>
      </c>
      <c r="E445">
        <v>3379</v>
      </c>
      <c r="F445">
        <v>13</v>
      </c>
      <c r="G445" t="s">
        <v>47</v>
      </c>
      <c r="H445" t="s">
        <v>1376</v>
      </c>
      <c r="I445" t="s">
        <v>29</v>
      </c>
      <c r="J445" t="s">
        <v>31</v>
      </c>
      <c r="K445" t="s">
        <v>30</v>
      </c>
      <c r="L445" t="s">
        <v>31</v>
      </c>
      <c r="M445" t="s">
        <v>76</v>
      </c>
      <c r="N445">
        <v>12</v>
      </c>
      <c r="O445">
        <v>2</v>
      </c>
      <c r="P445">
        <v>0</v>
      </c>
      <c r="Q445">
        <v>805.0988801524899</v>
      </c>
      <c r="R445">
        <v>3.097450559923755</v>
      </c>
      <c r="S445">
        <v>259.9230769230769</v>
      </c>
      <c r="T445">
        <v>0</v>
      </c>
      <c r="U445">
        <v>0</v>
      </c>
      <c r="V445">
        <v>0</v>
      </c>
      <c r="W445">
        <v>8.125630988477065</v>
      </c>
      <c r="X445">
        <v>0</v>
      </c>
    </row>
    <row r="446" spans="1:24">
      <c r="A446" t="s">
        <v>1377</v>
      </c>
      <c r="B446" t="s">
        <v>1378</v>
      </c>
      <c r="C446" t="s">
        <v>35</v>
      </c>
      <c r="D446">
        <v>2.456</v>
      </c>
      <c r="E446">
        <v>1203</v>
      </c>
      <c r="F446">
        <v>17</v>
      </c>
      <c r="G446" t="s">
        <v>47</v>
      </c>
      <c r="H446" t="s">
        <v>1379</v>
      </c>
      <c r="I446" t="s">
        <v>29</v>
      </c>
      <c r="J446" t="s">
        <v>31</v>
      </c>
      <c r="K446" t="s">
        <v>30</v>
      </c>
      <c r="L446" t="s">
        <v>30</v>
      </c>
      <c r="M446" t="s">
        <v>44</v>
      </c>
      <c r="N446">
        <v>13</v>
      </c>
      <c r="O446">
        <v>2</v>
      </c>
      <c r="P446">
        <v>0</v>
      </c>
      <c r="Q446">
        <v>489.8208469055375</v>
      </c>
      <c r="R446">
        <v>6.921824104234528</v>
      </c>
      <c r="S446">
        <v>70.76470588235294</v>
      </c>
      <c r="T446">
        <v>0</v>
      </c>
      <c r="U446">
        <v>0</v>
      </c>
      <c r="V446">
        <v>0</v>
      </c>
      <c r="W446">
        <v>7.093404625868766</v>
      </c>
      <c r="X446">
        <v>0</v>
      </c>
    </row>
    <row r="447" spans="1:24">
      <c r="A447" t="s">
        <v>1380</v>
      </c>
      <c r="B447" t="s">
        <v>1381</v>
      </c>
      <c r="C447" t="s">
        <v>35</v>
      </c>
      <c r="D447">
        <v>8.401</v>
      </c>
      <c r="E447">
        <v>5246</v>
      </c>
      <c r="F447">
        <v>20</v>
      </c>
      <c r="G447" t="s">
        <v>27</v>
      </c>
      <c r="H447" t="s">
        <v>1382</v>
      </c>
      <c r="I447" t="s">
        <v>29</v>
      </c>
      <c r="J447" t="s">
        <v>30</v>
      </c>
      <c r="K447" t="s">
        <v>31</v>
      </c>
      <c r="L447" t="s">
        <v>31</v>
      </c>
      <c r="M447" t="s">
        <v>97</v>
      </c>
      <c r="N447">
        <v>13</v>
      </c>
      <c r="O447">
        <v>2</v>
      </c>
      <c r="P447">
        <v>0</v>
      </c>
      <c r="Q447">
        <v>624.4494703011546</v>
      </c>
      <c r="R447">
        <v>2.380668967980002</v>
      </c>
      <c r="S447">
        <v>262.3</v>
      </c>
      <c r="T447">
        <v>0</v>
      </c>
      <c r="U447">
        <v>0</v>
      </c>
      <c r="V447">
        <v>0</v>
      </c>
      <c r="W447">
        <v>8.565411763686711</v>
      </c>
      <c r="X447">
        <v>0</v>
      </c>
    </row>
    <row r="448" spans="1:24">
      <c r="A448" t="s">
        <v>1383</v>
      </c>
      <c r="B448" t="s">
        <v>1384</v>
      </c>
      <c r="C448" t="s">
        <v>35</v>
      </c>
      <c r="D448">
        <v>1.05</v>
      </c>
      <c r="E448">
        <v>2827</v>
      </c>
      <c r="F448">
        <v>19</v>
      </c>
      <c r="G448" t="s">
        <v>36</v>
      </c>
      <c r="H448" t="s">
        <v>1385</v>
      </c>
      <c r="I448" t="s">
        <v>29</v>
      </c>
      <c r="J448" t="s">
        <v>38</v>
      </c>
      <c r="K448" t="s">
        <v>30</v>
      </c>
      <c r="L448" t="s">
        <v>31</v>
      </c>
      <c r="M448" t="s">
        <v>97</v>
      </c>
      <c r="N448">
        <v>13</v>
      </c>
      <c r="O448">
        <v>2</v>
      </c>
      <c r="P448">
        <v>0</v>
      </c>
      <c r="Q448">
        <v>2692.380952380952</v>
      </c>
      <c r="R448">
        <v>18.09523809523809</v>
      </c>
      <c r="S448">
        <v>148.7894736842105</v>
      </c>
      <c r="T448">
        <v>0</v>
      </c>
      <c r="U448">
        <v>0</v>
      </c>
      <c r="V448">
        <v>0</v>
      </c>
      <c r="W448">
        <v>7.947325027016463</v>
      </c>
      <c r="X448">
        <v>0</v>
      </c>
    </row>
    <row r="449" spans="1:24">
      <c r="A449" t="s">
        <v>1386</v>
      </c>
      <c r="B449" t="s">
        <v>1387</v>
      </c>
      <c r="C449" t="s">
        <v>26</v>
      </c>
      <c r="D449">
        <v>7.475</v>
      </c>
      <c r="E449">
        <v>630</v>
      </c>
      <c r="F449">
        <v>13</v>
      </c>
      <c r="G449" t="s">
        <v>27</v>
      </c>
      <c r="H449" t="s">
        <v>1388</v>
      </c>
      <c r="I449" t="s">
        <v>29</v>
      </c>
      <c r="J449" t="s">
        <v>30</v>
      </c>
      <c r="K449" t="s">
        <v>30</v>
      </c>
      <c r="L449" t="s">
        <v>38</v>
      </c>
      <c r="M449" t="s">
        <v>97</v>
      </c>
      <c r="N449">
        <v>13</v>
      </c>
      <c r="O449">
        <v>2</v>
      </c>
      <c r="P449">
        <v>0</v>
      </c>
      <c r="Q449">
        <v>84.2809364548495</v>
      </c>
      <c r="R449">
        <v>1.739130434782609</v>
      </c>
      <c r="S449">
        <v>48.46153846153846</v>
      </c>
      <c r="T449">
        <v>0</v>
      </c>
      <c r="U449">
        <v>0</v>
      </c>
      <c r="V449">
        <v>0</v>
      </c>
      <c r="W449">
        <v>6.447305862541213</v>
      </c>
      <c r="X449">
        <v>0</v>
      </c>
    </row>
    <row r="450" spans="1:24">
      <c r="A450" t="s">
        <v>1389</v>
      </c>
      <c r="B450" t="s">
        <v>1390</v>
      </c>
      <c r="C450" t="s">
        <v>35</v>
      </c>
      <c r="D450">
        <v>5.859</v>
      </c>
      <c r="E450">
        <v>2333</v>
      </c>
      <c r="F450">
        <v>15</v>
      </c>
      <c r="G450" t="s">
        <v>27</v>
      </c>
      <c r="H450" t="s">
        <v>1391</v>
      </c>
      <c r="I450" t="s">
        <v>29</v>
      </c>
      <c r="J450" t="s">
        <v>30</v>
      </c>
      <c r="K450" t="s">
        <v>31</v>
      </c>
      <c r="L450" t="s">
        <v>30</v>
      </c>
      <c r="M450" t="s">
        <v>44</v>
      </c>
      <c r="N450">
        <v>13</v>
      </c>
      <c r="O450">
        <v>2</v>
      </c>
      <c r="P450">
        <v>0</v>
      </c>
      <c r="Q450">
        <v>398.1908175456563</v>
      </c>
      <c r="R450">
        <v>2.560163850486431</v>
      </c>
      <c r="S450">
        <v>155.5333333333333</v>
      </c>
      <c r="T450">
        <v>0</v>
      </c>
      <c r="U450">
        <v>0</v>
      </c>
      <c r="V450">
        <v>0</v>
      </c>
      <c r="W450">
        <v>7.755338812846501</v>
      </c>
      <c r="X450">
        <v>0</v>
      </c>
    </row>
    <row r="451" spans="1:24">
      <c r="A451" t="s">
        <v>1392</v>
      </c>
      <c r="B451" t="s">
        <v>1393</v>
      </c>
      <c r="C451" t="s">
        <v>35</v>
      </c>
      <c r="D451">
        <v>3.348</v>
      </c>
      <c r="E451">
        <v>8621</v>
      </c>
      <c r="F451">
        <v>21</v>
      </c>
      <c r="G451" t="s">
        <v>27</v>
      </c>
      <c r="H451" t="s">
        <v>1394</v>
      </c>
      <c r="I451" t="s">
        <v>29</v>
      </c>
      <c r="J451" t="s">
        <v>30</v>
      </c>
      <c r="K451" t="s">
        <v>30</v>
      </c>
      <c r="L451" t="s">
        <v>31</v>
      </c>
      <c r="M451" t="s">
        <v>44</v>
      </c>
      <c r="N451">
        <v>13</v>
      </c>
      <c r="O451">
        <v>2</v>
      </c>
      <c r="P451">
        <v>0</v>
      </c>
      <c r="Q451">
        <v>2574.970131421745</v>
      </c>
      <c r="R451">
        <v>6.272401433691757</v>
      </c>
      <c r="S451">
        <v>410.5238095238095</v>
      </c>
      <c r="T451">
        <v>0</v>
      </c>
      <c r="U451">
        <v>0</v>
      </c>
      <c r="V451">
        <v>0</v>
      </c>
      <c r="W451">
        <v>9.06207235530708</v>
      </c>
      <c r="X451">
        <v>0</v>
      </c>
    </row>
    <row r="452" spans="1:24">
      <c r="A452" t="s">
        <v>1395</v>
      </c>
      <c r="B452" t="s">
        <v>1396</v>
      </c>
      <c r="C452" t="s">
        <v>26</v>
      </c>
      <c r="D452">
        <v>3.187</v>
      </c>
      <c r="E452">
        <v>2443</v>
      </c>
      <c r="F452">
        <v>30</v>
      </c>
      <c r="G452" t="s">
        <v>62</v>
      </c>
      <c r="H452" t="s">
        <v>1397</v>
      </c>
      <c r="I452" t="s">
        <v>29</v>
      </c>
      <c r="J452" t="s">
        <v>30</v>
      </c>
      <c r="K452" t="s">
        <v>31</v>
      </c>
      <c r="L452" t="s">
        <v>31</v>
      </c>
      <c r="M452" t="s">
        <v>32</v>
      </c>
      <c r="N452">
        <v>13</v>
      </c>
      <c r="O452">
        <v>2</v>
      </c>
      <c r="P452">
        <v>0</v>
      </c>
      <c r="Q452">
        <v>766.5516159397553</v>
      </c>
      <c r="R452">
        <v>9.413241292751804</v>
      </c>
      <c r="S452">
        <v>81.43333333333334</v>
      </c>
      <c r="T452">
        <v>0</v>
      </c>
      <c r="U452">
        <v>0</v>
      </c>
      <c r="V452">
        <v>0</v>
      </c>
      <c r="W452">
        <v>7.801391320291485</v>
      </c>
      <c r="X452">
        <v>0</v>
      </c>
    </row>
    <row r="453" spans="1:24">
      <c r="A453" t="s">
        <v>1398</v>
      </c>
      <c r="B453" t="s">
        <v>1399</v>
      </c>
      <c r="C453" t="s">
        <v>35</v>
      </c>
      <c r="D453">
        <v>5.693</v>
      </c>
      <c r="E453">
        <v>767</v>
      </c>
      <c r="F453">
        <v>10</v>
      </c>
      <c r="G453" t="s">
        <v>36</v>
      </c>
      <c r="H453" t="s">
        <v>1400</v>
      </c>
      <c r="I453" t="s">
        <v>29</v>
      </c>
      <c r="J453" t="s">
        <v>38</v>
      </c>
      <c r="K453" t="s">
        <v>30</v>
      </c>
      <c r="L453" t="s">
        <v>30</v>
      </c>
      <c r="M453" t="s">
        <v>39</v>
      </c>
      <c r="N453">
        <v>13</v>
      </c>
      <c r="O453">
        <v>2</v>
      </c>
      <c r="P453">
        <v>0</v>
      </c>
      <c r="Q453">
        <v>134.7268575443527</v>
      </c>
      <c r="R453">
        <v>1.756543123133673</v>
      </c>
      <c r="S453">
        <v>76.7</v>
      </c>
      <c r="T453">
        <v>0</v>
      </c>
      <c r="U453">
        <v>0</v>
      </c>
      <c r="V453">
        <v>0</v>
      </c>
      <c r="W453">
        <v>6.643789733147672</v>
      </c>
      <c r="X453">
        <v>0</v>
      </c>
    </row>
    <row r="454" spans="1:24">
      <c r="A454" t="s">
        <v>1401</v>
      </c>
      <c r="B454" t="s">
        <v>1402</v>
      </c>
      <c r="C454" t="s">
        <v>35</v>
      </c>
      <c r="D454">
        <v>6.292</v>
      </c>
      <c r="E454">
        <v>16064</v>
      </c>
      <c r="F454">
        <v>17</v>
      </c>
      <c r="G454" t="s">
        <v>62</v>
      </c>
      <c r="H454" t="s">
        <v>1403</v>
      </c>
      <c r="I454" t="s">
        <v>29</v>
      </c>
      <c r="J454" t="s">
        <v>30</v>
      </c>
      <c r="K454" t="s">
        <v>30</v>
      </c>
      <c r="L454" t="s">
        <v>38</v>
      </c>
      <c r="M454" t="s">
        <v>83</v>
      </c>
      <c r="N454">
        <v>13</v>
      </c>
      <c r="O454">
        <v>2</v>
      </c>
      <c r="P454">
        <v>0</v>
      </c>
      <c r="Q454">
        <v>2553.083280356008</v>
      </c>
      <c r="R454">
        <v>2.70184361093452</v>
      </c>
      <c r="S454">
        <v>944.9411764705884</v>
      </c>
      <c r="T454">
        <v>0</v>
      </c>
      <c r="U454">
        <v>0</v>
      </c>
      <c r="V454">
        <v>1</v>
      </c>
      <c r="W454">
        <v>9.684398271549959</v>
      </c>
      <c r="X454">
        <v>0</v>
      </c>
    </row>
    <row r="455" spans="1:24">
      <c r="A455" t="s">
        <v>1404</v>
      </c>
      <c r="B455" t="s">
        <v>1405</v>
      </c>
      <c r="C455" t="s">
        <v>35</v>
      </c>
      <c r="D455">
        <v>2.127</v>
      </c>
      <c r="E455">
        <v>334</v>
      </c>
      <c r="F455">
        <v>10</v>
      </c>
      <c r="G455" t="s">
        <v>47</v>
      </c>
      <c r="H455" t="s">
        <v>1406</v>
      </c>
      <c r="I455" t="s">
        <v>29</v>
      </c>
      <c r="J455" t="s">
        <v>31</v>
      </c>
      <c r="K455" t="s">
        <v>30</v>
      </c>
      <c r="L455" t="s">
        <v>38</v>
      </c>
      <c r="M455" t="s">
        <v>44</v>
      </c>
      <c r="N455">
        <v>13</v>
      </c>
      <c r="O455">
        <v>2</v>
      </c>
      <c r="P455">
        <v>0</v>
      </c>
      <c r="Q455">
        <v>157.0286788904561</v>
      </c>
      <c r="R455">
        <v>4.701457451810062</v>
      </c>
      <c r="S455">
        <v>33.4</v>
      </c>
      <c r="T455">
        <v>0</v>
      </c>
      <c r="U455">
        <v>0</v>
      </c>
      <c r="V455">
        <v>0</v>
      </c>
      <c r="W455">
        <v>5.814130531825066</v>
      </c>
      <c r="X455">
        <v>0</v>
      </c>
    </row>
    <row r="456" spans="1:24">
      <c r="A456" t="s">
        <v>1407</v>
      </c>
      <c r="B456" t="s">
        <v>1408</v>
      </c>
      <c r="C456" t="s">
        <v>35</v>
      </c>
      <c r="D456">
        <v>2.508</v>
      </c>
      <c r="E456">
        <v>2147</v>
      </c>
      <c r="F456">
        <v>22</v>
      </c>
      <c r="G456" t="s">
        <v>27</v>
      </c>
      <c r="H456" t="s">
        <v>1409</v>
      </c>
      <c r="I456" t="s">
        <v>29</v>
      </c>
      <c r="J456" t="s">
        <v>30</v>
      </c>
      <c r="K456" t="s">
        <v>30</v>
      </c>
      <c r="L456" t="s">
        <v>30</v>
      </c>
      <c r="M456" t="s">
        <v>39</v>
      </c>
      <c r="N456">
        <v>13</v>
      </c>
      <c r="O456">
        <v>2</v>
      </c>
      <c r="P456">
        <v>0</v>
      </c>
      <c r="Q456">
        <v>856.060606060606</v>
      </c>
      <c r="R456">
        <v>8.771929824561404</v>
      </c>
      <c r="S456">
        <v>97.59090909090909</v>
      </c>
      <c r="T456">
        <v>0</v>
      </c>
      <c r="U456">
        <v>0</v>
      </c>
      <c r="V456">
        <v>0</v>
      </c>
      <c r="W456">
        <v>7.672292455628756</v>
      </c>
      <c r="X456">
        <v>0</v>
      </c>
    </row>
    <row r="457" spans="1:24">
      <c r="A457" t="s">
        <v>1410</v>
      </c>
      <c r="B457" t="s">
        <v>1411</v>
      </c>
      <c r="C457" t="s">
        <v>35</v>
      </c>
      <c r="D457">
        <v>2.874</v>
      </c>
      <c r="E457">
        <v>2138</v>
      </c>
      <c r="F457">
        <v>15</v>
      </c>
      <c r="G457" t="s">
        <v>47</v>
      </c>
      <c r="H457" t="s">
        <v>1412</v>
      </c>
      <c r="I457" t="s">
        <v>29</v>
      </c>
      <c r="J457" t="s">
        <v>31</v>
      </c>
      <c r="K457" t="s">
        <v>30</v>
      </c>
      <c r="L457" t="s">
        <v>38</v>
      </c>
      <c r="M457" t="s">
        <v>44</v>
      </c>
      <c r="N457">
        <v>13</v>
      </c>
      <c r="O457">
        <v>2</v>
      </c>
      <c r="P457">
        <v>0</v>
      </c>
      <c r="Q457">
        <v>743.910925539318</v>
      </c>
      <c r="R457">
        <v>5.219206680584551</v>
      </c>
      <c r="S457">
        <v>142.5333333333333</v>
      </c>
      <c r="T457">
        <v>0</v>
      </c>
      <c r="U457">
        <v>0</v>
      </c>
      <c r="V457">
        <v>0</v>
      </c>
      <c r="W457">
        <v>7.668093709082406</v>
      </c>
      <c r="X457">
        <v>0</v>
      </c>
    </row>
    <row r="458" spans="1:24">
      <c r="A458" t="s">
        <v>1413</v>
      </c>
      <c r="B458" t="s">
        <v>1414</v>
      </c>
      <c r="C458" t="s">
        <v>35</v>
      </c>
      <c r="D458">
        <v>4.726</v>
      </c>
      <c r="E458">
        <v>1569</v>
      </c>
      <c r="F458">
        <v>18</v>
      </c>
      <c r="G458" t="s">
        <v>27</v>
      </c>
      <c r="H458" t="s">
        <v>1415</v>
      </c>
      <c r="I458" t="s">
        <v>29</v>
      </c>
      <c r="J458" t="s">
        <v>30</v>
      </c>
      <c r="K458" t="s">
        <v>30</v>
      </c>
      <c r="L458" t="s">
        <v>31</v>
      </c>
      <c r="M458" t="s">
        <v>97</v>
      </c>
      <c r="N458">
        <v>14</v>
      </c>
      <c r="O458">
        <v>2</v>
      </c>
      <c r="P458">
        <v>0</v>
      </c>
      <c r="Q458">
        <v>331.9932289462548</v>
      </c>
      <c r="R458">
        <v>3.808717731696996</v>
      </c>
      <c r="S458">
        <v>87.16666666666667</v>
      </c>
      <c r="T458">
        <v>0</v>
      </c>
      <c r="U458">
        <v>0</v>
      </c>
      <c r="V458">
        <v>0</v>
      </c>
      <c r="W458">
        <v>7.358830898342354</v>
      </c>
      <c r="X458">
        <v>0</v>
      </c>
    </row>
    <row r="459" spans="1:24">
      <c r="A459" t="s">
        <v>1416</v>
      </c>
      <c r="B459" t="s">
        <v>1417</v>
      </c>
      <c r="C459" t="s">
        <v>35</v>
      </c>
      <c r="D459">
        <v>7.282</v>
      </c>
      <c r="E459">
        <v>6309</v>
      </c>
      <c r="F459">
        <v>17</v>
      </c>
      <c r="G459" t="s">
        <v>36</v>
      </c>
      <c r="H459" t="s">
        <v>1418</v>
      </c>
      <c r="I459" t="s">
        <v>29</v>
      </c>
      <c r="J459" t="s">
        <v>38</v>
      </c>
      <c r="K459" t="s">
        <v>31</v>
      </c>
      <c r="L459" t="s">
        <v>31</v>
      </c>
      <c r="M459" t="s">
        <v>44</v>
      </c>
      <c r="N459">
        <v>14</v>
      </c>
      <c r="O459">
        <v>2</v>
      </c>
      <c r="P459">
        <v>0</v>
      </c>
      <c r="Q459">
        <v>866.3828618511398</v>
      </c>
      <c r="R459">
        <v>2.334523482559737</v>
      </c>
      <c r="S459">
        <v>371.1176470588235</v>
      </c>
      <c r="T459">
        <v>0</v>
      </c>
      <c r="U459">
        <v>0</v>
      </c>
      <c r="V459">
        <v>0</v>
      </c>
      <c r="W459">
        <v>8.749890955535259</v>
      </c>
      <c r="X459">
        <v>0</v>
      </c>
    </row>
    <row r="460" spans="1:24">
      <c r="A460" t="s">
        <v>1419</v>
      </c>
      <c r="B460" t="s">
        <v>1420</v>
      </c>
      <c r="C460" t="s">
        <v>26</v>
      </c>
      <c r="D460">
        <v>1.67</v>
      </c>
      <c r="E460">
        <v>4273</v>
      </c>
      <c r="F460">
        <v>15</v>
      </c>
      <c r="G460" t="s">
        <v>47</v>
      </c>
      <c r="H460" t="s">
        <v>1421</v>
      </c>
      <c r="I460" t="s">
        <v>29</v>
      </c>
      <c r="J460" t="s">
        <v>31</v>
      </c>
      <c r="K460" t="s">
        <v>30</v>
      </c>
      <c r="L460" t="s">
        <v>31</v>
      </c>
      <c r="M460" t="s">
        <v>39</v>
      </c>
      <c r="N460">
        <v>14</v>
      </c>
      <c r="O460">
        <v>2</v>
      </c>
      <c r="P460">
        <v>0</v>
      </c>
      <c r="Q460">
        <v>2558.682634730539</v>
      </c>
      <c r="R460">
        <v>8.982035928143713</v>
      </c>
      <c r="S460">
        <v>284.8666666666667</v>
      </c>
      <c r="T460">
        <v>0</v>
      </c>
      <c r="U460">
        <v>0</v>
      </c>
      <c r="V460">
        <v>0</v>
      </c>
      <c r="W460">
        <v>8.360305435879093</v>
      </c>
      <c r="X460">
        <v>0</v>
      </c>
    </row>
    <row r="461" spans="1:24">
      <c r="A461" t="s">
        <v>1422</v>
      </c>
      <c r="B461" t="s">
        <v>1423</v>
      </c>
      <c r="C461" t="s">
        <v>35</v>
      </c>
      <c r="D461">
        <v>0.403</v>
      </c>
      <c r="E461">
        <v>32812</v>
      </c>
      <c r="F461">
        <v>65</v>
      </c>
      <c r="G461" t="s">
        <v>47</v>
      </c>
      <c r="H461" t="s">
        <v>1424</v>
      </c>
      <c r="I461" t="s">
        <v>49</v>
      </c>
      <c r="J461" t="s">
        <v>31</v>
      </c>
      <c r="K461" t="s">
        <v>31</v>
      </c>
      <c r="L461" t="s">
        <v>30</v>
      </c>
      <c r="M461" t="s">
        <v>97</v>
      </c>
      <c r="N461">
        <v>14</v>
      </c>
      <c r="O461">
        <v>2</v>
      </c>
      <c r="P461">
        <v>0</v>
      </c>
      <c r="Q461">
        <v>81419.35483870967</v>
      </c>
      <c r="R461">
        <v>161.2903225806452</v>
      </c>
      <c r="S461">
        <v>504.8</v>
      </c>
      <c r="T461">
        <v>0</v>
      </c>
      <c r="U461">
        <v>0</v>
      </c>
      <c r="V461">
        <v>1</v>
      </c>
      <c r="W461">
        <v>10.39858005731312</v>
      </c>
      <c r="X461">
        <v>1</v>
      </c>
    </row>
    <row r="462" spans="1:24">
      <c r="A462" t="s">
        <v>1425</v>
      </c>
      <c r="B462" t="s">
        <v>1426</v>
      </c>
      <c r="C462" t="s">
        <v>35</v>
      </c>
      <c r="D462">
        <v>1.266</v>
      </c>
      <c r="E462">
        <v>229</v>
      </c>
      <c r="F462">
        <v>13</v>
      </c>
      <c r="G462" t="s">
        <v>27</v>
      </c>
      <c r="H462" t="s">
        <v>1427</v>
      </c>
      <c r="I462" t="s">
        <v>29</v>
      </c>
      <c r="J462" t="s">
        <v>30</v>
      </c>
      <c r="K462" t="s">
        <v>30</v>
      </c>
      <c r="L462" t="s">
        <v>31</v>
      </c>
      <c r="M462" t="s">
        <v>32</v>
      </c>
      <c r="N462">
        <v>14</v>
      </c>
      <c r="O462">
        <v>2</v>
      </c>
      <c r="P462">
        <v>0</v>
      </c>
      <c r="Q462">
        <v>180.8846761453397</v>
      </c>
      <c r="R462">
        <v>10.26856240126382</v>
      </c>
      <c r="S462">
        <v>17.61538461538462</v>
      </c>
      <c r="T462">
        <v>0</v>
      </c>
      <c r="U462">
        <v>0</v>
      </c>
      <c r="V462">
        <v>0</v>
      </c>
      <c r="W462">
        <v>5.438079308923196</v>
      </c>
      <c r="X462">
        <v>0</v>
      </c>
    </row>
    <row r="463" spans="1:24">
      <c r="A463" t="s">
        <v>1428</v>
      </c>
      <c r="B463" t="s">
        <v>1429</v>
      </c>
      <c r="C463" t="s">
        <v>26</v>
      </c>
      <c r="D463">
        <v>4.571</v>
      </c>
      <c r="E463">
        <v>3204</v>
      </c>
      <c r="F463">
        <v>16</v>
      </c>
      <c r="G463" t="s">
        <v>62</v>
      </c>
      <c r="H463" t="s">
        <v>1430</v>
      </c>
      <c r="I463" t="s">
        <v>29</v>
      </c>
      <c r="J463" t="s">
        <v>30</v>
      </c>
      <c r="K463" t="s">
        <v>30</v>
      </c>
      <c r="L463" t="s">
        <v>30</v>
      </c>
      <c r="M463" t="s">
        <v>44</v>
      </c>
      <c r="N463">
        <v>14</v>
      </c>
      <c r="O463">
        <v>2</v>
      </c>
      <c r="P463">
        <v>0</v>
      </c>
      <c r="Q463">
        <v>700.9407131918617</v>
      </c>
      <c r="R463">
        <v>3.500328155764603</v>
      </c>
      <c r="S463">
        <v>200.25</v>
      </c>
      <c r="T463">
        <v>0</v>
      </c>
      <c r="U463">
        <v>0</v>
      </c>
      <c r="V463">
        <v>0</v>
      </c>
      <c r="W463">
        <v>8.07246736935477</v>
      </c>
      <c r="X463">
        <v>0</v>
      </c>
    </row>
    <row r="464" spans="1:24">
      <c r="A464" t="s">
        <v>1431</v>
      </c>
      <c r="B464" t="s">
        <v>1432</v>
      </c>
      <c r="C464" t="s">
        <v>26</v>
      </c>
      <c r="D464">
        <v>4.517</v>
      </c>
      <c r="E464">
        <v>17466</v>
      </c>
      <c r="F464">
        <v>54</v>
      </c>
      <c r="G464" t="s">
        <v>27</v>
      </c>
      <c r="H464" t="s">
        <v>1433</v>
      </c>
      <c r="I464" t="s">
        <v>49</v>
      </c>
      <c r="J464" t="s">
        <v>30</v>
      </c>
      <c r="K464" t="s">
        <v>30</v>
      </c>
      <c r="L464" t="s">
        <v>30</v>
      </c>
      <c r="M464" t="s">
        <v>97</v>
      </c>
      <c r="N464">
        <v>14</v>
      </c>
      <c r="O464">
        <v>2</v>
      </c>
      <c r="P464">
        <v>0</v>
      </c>
      <c r="Q464">
        <v>3866.725702900155</v>
      </c>
      <c r="R464">
        <v>11.95483728138145</v>
      </c>
      <c r="S464">
        <v>323.4444444444445</v>
      </c>
      <c r="T464">
        <v>0</v>
      </c>
      <c r="U464">
        <v>0</v>
      </c>
      <c r="V464">
        <v>1</v>
      </c>
      <c r="W464">
        <v>9.768068665428393</v>
      </c>
      <c r="X464">
        <v>1</v>
      </c>
    </row>
    <row r="465" spans="1:24">
      <c r="A465" t="s">
        <v>1434</v>
      </c>
      <c r="B465" t="s">
        <v>1435</v>
      </c>
      <c r="C465" t="s">
        <v>26</v>
      </c>
      <c r="D465">
        <v>0.026</v>
      </c>
      <c r="E465">
        <v>2417</v>
      </c>
      <c r="F465">
        <v>1</v>
      </c>
      <c r="G465" t="s">
        <v>47</v>
      </c>
      <c r="H465" t="s">
        <v>1436</v>
      </c>
      <c r="I465" t="s">
        <v>90</v>
      </c>
      <c r="J465" t="s">
        <v>31</v>
      </c>
      <c r="K465" t="s">
        <v>38</v>
      </c>
      <c r="L465" t="s">
        <v>38</v>
      </c>
      <c r="M465" t="s">
        <v>83</v>
      </c>
      <c r="N465">
        <v>14</v>
      </c>
      <c r="O465">
        <v>2</v>
      </c>
      <c r="P465">
        <v>0</v>
      </c>
      <c r="Q465">
        <v>92961.53846153848</v>
      </c>
      <c r="R465">
        <v>38.46153846153846</v>
      </c>
      <c r="S465">
        <v>2417</v>
      </c>
      <c r="T465">
        <v>0</v>
      </c>
      <c r="U465">
        <v>0</v>
      </c>
      <c r="V465">
        <v>0</v>
      </c>
      <c r="W465">
        <v>7.790696031174738</v>
      </c>
      <c r="X465">
        <v>1</v>
      </c>
    </row>
    <row r="466" spans="1:24">
      <c r="A466" t="s">
        <v>1437</v>
      </c>
      <c r="B466" t="s">
        <v>1438</v>
      </c>
      <c r="C466" t="s">
        <v>35</v>
      </c>
      <c r="D466">
        <v>1.424</v>
      </c>
      <c r="E466">
        <v>804</v>
      </c>
      <c r="F466">
        <v>21</v>
      </c>
      <c r="G466" t="s">
        <v>62</v>
      </c>
      <c r="H466" t="s">
        <v>1439</v>
      </c>
      <c r="I466" t="s">
        <v>29</v>
      </c>
      <c r="J466" t="s">
        <v>30</v>
      </c>
      <c r="K466" t="s">
        <v>30</v>
      </c>
      <c r="L466" t="s">
        <v>30</v>
      </c>
      <c r="M466" t="s">
        <v>97</v>
      </c>
      <c r="N466">
        <v>14</v>
      </c>
      <c r="O466">
        <v>2</v>
      </c>
      <c r="P466">
        <v>0</v>
      </c>
      <c r="Q466">
        <v>564.6067415730338</v>
      </c>
      <c r="R466">
        <v>14.74719101123596</v>
      </c>
      <c r="S466">
        <v>38.28571428571428</v>
      </c>
      <c r="T466">
        <v>0</v>
      </c>
      <c r="U466">
        <v>0</v>
      </c>
      <c r="V466">
        <v>0</v>
      </c>
      <c r="W466">
        <v>6.690842277418564</v>
      </c>
      <c r="X466">
        <v>0</v>
      </c>
    </row>
    <row r="467" spans="1:24">
      <c r="A467" t="s">
        <v>1440</v>
      </c>
      <c r="B467" t="s">
        <v>1441</v>
      </c>
      <c r="C467" t="s">
        <v>26</v>
      </c>
      <c r="D467">
        <v>1.111</v>
      </c>
      <c r="E467">
        <v>64385</v>
      </c>
      <c r="F467">
        <v>182</v>
      </c>
      <c r="G467" t="s">
        <v>47</v>
      </c>
      <c r="H467" t="s">
        <v>1442</v>
      </c>
      <c r="I467" t="s">
        <v>49</v>
      </c>
      <c r="J467" t="s">
        <v>31</v>
      </c>
      <c r="K467" t="s">
        <v>31</v>
      </c>
      <c r="L467" t="s">
        <v>30</v>
      </c>
      <c r="M467" t="s">
        <v>97</v>
      </c>
      <c r="N467">
        <v>14</v>
      </c>
      <c r="O467">
        <v>2</v>
      </c>
      <c r="P467">
        <v>0</v>
      </c>
      <c r="Q467">
        <v>57952.29522952296</v>
      </c>
      <c r="R467">
        <v>163.8163816381638</v>
      </c>
      <c r="S467">
        <v>353.7637362637363</v>
      </c>
      <c r="T467">
        <v>0</v>
      </c>
      <c r="U467">
        <v>0</v>
      </c>
      <c r="V467">
        <v>1</v>
      </c>
      <c r="W467">
        <v>11.07265149715518</v>
      </c>
      <c r="X467">
        <v>1</v>
      </c>
    </row>
    <row r="468" spans="1:24">
      <c r="A468" t="s">
        <v>1443</v>
      </c>
      <c r="B468" t="s">
        <v>1444</v>
      </c>
      <c r="C468" t="s">
        <v>26</v>
      </c>
      <c r="D468">
        <v>1.886</v>
      </c>
      <c r="E468">
        <v>3827</v>
      </c>
      <c r="F468">
        <v>18</v>
      </c>
      <c r="G468" t="s">
        <v>27</v>
      </c>
      <c r="H468" t="s">
        <v>1445</v>
      </c>
      <c r="I468" t="s">
        <v>29</v>
      </c>
      <c r="J468" t="s">
        <v>30</v>
      </c>
      <c r="K468" t="s">
        <v>30</v>
      </c>
      <c r="L468" t="s">
        <v>31</v>
      </c>
      <c r="M468" t="s">
        <v>39</v>
      </c>
      <c r="N468">
        <v>14</v>
      </c>
      <c r="O468">
        <v>2</v>
      </c>
      <c r="P468">
        <v>0</v>
      </c>
      <c r="Q468">
        <v>2029.162248144221</v>
      </c>
      <c r="R468">
        <v>9.544008483563095</v>
      </c>
      <c r="S468">
        <v>212.6111111111111</v>
      </c>
      <c r="T468">
        <v>0</v>
      </c>
      <c r="U468">
        <v>0</v>
      </c>
      <c r="V468">
        <v>0</v>
      </c>
      <c r="W468">
        <v>8.250097752572845</v>
      </c>
      <c r="X468">
        <v>0</v>
      </c>
    </row>
    <row r="469" spans="1:24">
      <c r="A469" t="s">
        <v>1446</v>
      </c>
      <c r="B469" t="s">
        <v>1447</v>
      </c>
      <c r="C469" t="s">
        <v>52</v>
      </c>
      <c r="D469">
        <v>1.701</v>
      </c>
      <c r="E469">
        <v>1976</v>
      </c>
      <c r="F469">
        <v>17</v>
      </c>
      <c r="G469" t="s">
        <v>36</v>
      </c>
      <c r="H469" t="s">
        <v>1448</v>
      </c>
      <c r="I469" t="s">
        <v>29</v>
      </c>
      <c r="J469" t="s">
        <v>38</v>
      </c>
      <c r="K469" t="s">
        <v>30</v>
      </c>
      <c r="L469" t="s">
        <v>30</v>
      </c>
      <c r="M469" t="s">
        <v>76</v>
      </c>
      <c r="N469">
        <v>14</v>
      </c>
      <c r="O469">
        <v>2</v>
      </c>
      <c r="P469">
        <v>0</v>
      </c>
      <c r="Q469">
        <v>1161.669606114051</v>
      </c>
      <c r="R469">
        <v>9.994121105232216</v>
      </c>
      <c r="S469">
        <v>116.2352941176471</v>
      </c>
      <c r="T469">
        <v>0</v>
      </c>
      <c r="U469">
        <v>0</v>
      </c>
      <c r="V469">
        <v>0</v>
      </c>
      <c r="W469">
        <v>7.589335823170617</v>
      </c>
      <c r="X469">
        <v>0</v>
      </c>
    </row>
    <row r="470" spans="1:24">
      <c r="A470" t="s">
        <v>1449</v>
      </c>
      <c r="B470" t="s">
        <v>1450</v>
      </c>
      <c r="C470" t="s">
        <v>52</v>
      </c>
      <c r="D470">
        <v>5.888</v>
      </c>
      <c r="E470">
        <v>2416</v>
      </c>
      <c r="F470">
        <v>17</v>
      </c>
      <c r="G470" t="s">
        <v>47</v>
      </c>
      <c r="H470" t="s">
        <v>1451</v>
      </c>
      <c r="I470" t="s">
        <v>29</v>
      </c>
      <c r="J470" t="s">
        <v>31</v>
      </c>
      <c r="K470" t="s">
        <v>31</v>
      </c>
      <c r="L470" t="s">
        <v>30</v>
      </c>
      <c r="M470" t="s">
        <v>32</v>
      </c>
      <c r="N470">
        <v>15</v>
      </c>
      <c r="O470">
        <v>2</v>
      </c>
      <c r="P470">
        <v>0</v>
      </c>
      <c r="Q470">
        <v>410.3260869565217</v>
      </c>
      <c r="R470">
        <v>2.887228260869565</v>
      </c>
      <c r="S470">
        <v>142.1176470588235</v>
      </c>
      <c r="T470">
        <v>0</v>
      </c>
      <c r="U470">
        <v>0</v>
      </c>
      <c r="V470">
        <v>0</v>
      </c>
      <c r="W470">
        <v>7.790282380703483</v>
      </c>
      <c r="X470">
        <v>0</v>
      </c>
    </row>
    <row r="471" spans="1:24">
      <c r="A471" t="s">
        <v>1452</v>
      </c>
      <c r="B471" t="s">
        <v>1453</v>
      </c>
      <c r="C471" t="s">
        <v>52</v>
      </c>
      <c r="D471">
        <v>3.099</v>
      </c>
      <c r="E471">
        <v>1917</v>
      </c>
      <c r="F471">
        <v>21</v>
      </c>
      <c r="G471" t="s">
        <v>36</v>
      </c>
      <c r="H471" t="s">
        <v>1454</v>
      </c>
      <c r="I471" t="s">
        <v>29</v>
      </c>
      <c r="J471" t="s">
        <v>38</v>
      </c>
      <c r="K471" t="s">
        <v>30</v>
      </c>
      <c r="L471" t="s">
        <v>31</v>
      </c>
      <c r="M471" t="s">
        <v>44</v>
      </c>
      <c r="N471">
        <v>15</v>
      </c>
      <c r="O471">
        <v>2</v>
      </c>
      <c r="P471">
        <v>0</v>
      </c>
      <c r="Q471">
        <v>618.5866408518876</v>
      </c>
      <c r="R471">
        <v>6.776379477250726</v>
      </c>
      <c r="S471">
        <v>91.28571428571428</v>
      </c>
      <c r="T471">
        <v>0</v>
      </c>
      <c r="U471">
        <v>0</v>
      </c>
      <c r="V471">
        <v>0</v>
      </c>
      <c r="W471">
        <v>7.559038255443384</v>
      </c>
      <c r="X471">
        <v>0</v>
      </c>
    </row>
    <row r="472" spans="1:24">
      <c r="A472" t="s">
        <v>1455</v>
      </c>
      <c r="B472" t="s">
        <v>1456</v>
      </c>
      <c r="C472" t="s">
        <v>26</v>
      </c>
      <c r="D472">
        <v>6.324</v>
      </c>
      <c r="E472">
        <v>1398</v>
      </c>
      <c r="F472">
        <v>13</v>
      </c>
      <c r="G472" t="s">
        <v>36</v>
      </c>
      <c r="H472" t="s">
        <v>1457</v>
      </c>
      <c r="I472" t="s">
        <v>29</v>
      </c>
      <c r="J472" t="s">
        <v>38</v>
      </c>
      <c r="K472" t="s">
        <v>30</v>
      </c>
      <c r="L472" t="s">
        <v>30</v>
      </c>
      <c r="M472" t="s">
        <v>97</v>
      </c>
      <c r="N472">
        <v>15</v>
      </c>
      <c r="O472">
        <v>2</v>
      </c>
      <c r="P472">
        <v>0</v>
      </c>
      <c r="Q472">
        <v>221.0626185958254</v>
      </c>
      <c r="R472">
        <v>2.055660974067046</v>
      </c>
      <c r="S472">
        <v>107.5384615384615</v>
      </c>
      <c r="T472">
        <v>0</v>
      </c>
      <c r="U472">
        <v>0</v>
      </c>
      <c r="V472">
        <v>0</v>
      </c>
      <c r="W472">
        <v>7.243512974665482</v>
      </c>
      <c r="X472">
        <v>0</v>
      </c>
    </row>
    <row r="473" spans="1:24">
      <c r="A473" t="s">
        <v>1458</v>
      </c>
      <c r="B473" t="s">
        <v>1459</v>
      </c>
      <c r="C473" t="s">
        <v>26</v>
      </c>
      <c r="D473">
        <v>3.325</v>
      </c>
      <c r="E473">
        <v>1662</v>
      </c>
      <c r="F473">
        <v>11</v>
      </c>
      <c r="G473" t="s">
        <v>47</v>
      </c>
      <c r="H473" t="s">
        <v>1460</v>
      </c>
      <c r="I473" t="s">
        <v>29</v>
      </c>
      <c r="J473" t="s">
        <v>31</v>
      </c>
      <c r="K473" t="s">
        <v>31</v>
      </c>
      <c r="L473" t="s">
        <v>30</v>
      </c>
      <c r="M473" t="s">
        <v>44</v>
      </c>
      <c r="N473">
        <v>15</v>
      </c>
      <c r="O473">
        <v>2</v>
      </c>
      <c r="P473">
        <v>0</v>
      </c>
      <c r="Q473">
        <v>499.8496240601504</v>
      </c>
      <c r="R473">
        <v>3.308270676691729</v>
      </c>
      <c r="S473">
        <v>151.0909090909091</v>
      </c>
      <c r="T473">
        <v>0</v>
      </c>
      <c r="U473">
        <v>0</v>
      </c>
      <c r="V473">
        <v>0</v>
      </c>
      <c r="W473">
        <v>7.416378479192928</v>
      </c>
      <c r="X473">
        <v>0</v>
      </c>
    </row>
    <row r="474" spans="1:24">
      <c r="A474" t="s">
        <v>1461</v>
      </c>
      <c r="B474" t="s">
        <v>1462</v>
      </c>
      <c r="C474" t="s">
        <v>26</v>
      </c>
      <c r="D474">
        <v>5.907</v>
      </c>
      <c r="E474">
        <v>1575</v>
      </c>
      <c r="F474">
        <v>24</v>
      </c>
      <c r="G474" t="s">
        <v>47</v>
      </c>
      <c r="H474" t="s">
        <v>1463</v>
      </c>
      <c r="I474" t="s">
        <v>29</v>
      </c>
      <c r="J474" t="s">
        <v>31</v>
      </c>
      <c r="K474" t="s">
        <v>30</v>
      </c>
      <c r="L474" t="s">
        <v>30</v>
      </c>
      <c r="M474" t="s">
        <v>97</v>
      </c>
      <c r="N474">
        <v>15</v>
      </c>
      <c r="O474">
        <v>2</v>
      </c>
      <c r="P474">
        <v>0</v>
      </c>
      <c r="Q474">
        <v>266.6328085322499</v>
      </c>
      <c r="R474">
        <v>4.062976130015236</v>
      </c>
      <c r="S474">
        <v>65.625</v>
      </c>
      <c r="T474">
        <v>0</v>
      </c>
      <c r="U474">
        <v>0</v>
      </c>
      <c r="V474">
        <v>0</v>
      </c>
      <c r="W474">
        <v>7.362645270417825</v>
      </c>
      <c r="X474">
        <v>0</v>
      </c>
    </row>
    <row r="475" spans="1:24">
      <c r="A475" t="s">
        <v>1464</v>
      </c>
      <c r="B475" t="s">
        <v>1465</v>
      </c>
      <c r="C475" t="s">
        <v>35</v>
      </c>
      <c r="D475">
        <v>11.17</v>
      </c>
      <c r="E475">
        <v>2974</v>
      </c>
      <c r="F475">
        <v>26</v>
      </c>
      <c r="G475" t="s">
        <v>62</v>
      </c>
      <c r="H475" t="s">
        <v>1466</v>
      </c>
      <c r="I475" t="s">
        <v>29</v>
      </c>
      <c r="J475" t="s">
        <v>30</v>
      </c>
      <c r="K475" t="s">
        <v>31</v>
      </c>
      <c r="L475" t="s">
        <v>30</v>
      </c>
      <c r="M475" t="s">
        <v>39</v>
      </c>
      <c r="N475">
        <v>15</v>
      </c>
      <c r="O475">
        <v>2</v>
      </c>
      <c r="P475">
        <v>0</v>
      </c>
      <c r="Q475">
        <v>266.2488809310653</v>
      </c>
      <c r="R475">
        <v>2.327663384064458</v>
      </c>
      <c r="S475">
        <v>114.3846153846154</v>
      </c>
      <c r="T475">
        <v>0</v>
      </c>
      <c r="U475">
        <v>0</v>
      </c>
      <c r="V475">
        <v>0</v>
      </c>
      <c r="W475">
        <v>7.99799931797973</v>
      </c>
      <c r="X475">
        <v>0</v>
      </c>
    </row>
    <row r="476" spans="1:24">
      <c r="A476" t="s">
        <v>1467</v>
      </c>
      <c r="B476" t="s">
        <v>1468</v>
      </c>
      <c r="C476" t="s">
        <v>35</v>
      </c>
      <c r="D476">
        <v>1.186</v>
      </c>
      <c r="E476">
        <v>8735</v>
      </c>
      <c r="F476">
        <v>23</v>
      </c>
      <c r="G476" t="s">
        <v>36</v>
      </c>
      <c r="H476" t="s">
        <v>1469</v>
      </c>
      <c r="I476" t="s">
        <v>29</v>
      </c>
      <c r="J476" t="s">
        <v>38</v>
      </c>
      <c r="K476" t="s">
        <v>31</v>
      </c>
      <c r="L476" t="s">
        <v>30</v>
      </c>
      <c r="M476" t="s">
        <v>44</v>
      </c>
      <c r="N476">
        <v>15</v>
      </c>
      <c r="O476">
        <v>2</v>
      </c>
      <c r="P476">
        <v>0</v>
      </c>
      <c r="Q476">
        <v>7365.092748735245</v>
      </c>
      <c r="R476">
        <v>19.3929173693086</v>
      </c>
      <c r="S476">
        <v>379.7826086956522</v>
      </c>
      <c r="T476">
        <v>0</v>
      </c>
      <c r="U476">
        <v>0</v>
      </c>
      <c r="V476">
        <v>0</v>
      </c>
      <c r="W476">
        <v>9.075207697984686</v>
      </c>
      <c r="X476">
        <v>0</v>
      </c>
    </row>
    <row r="477" spans="1:24">
      <c r="A477" t="s">
        <v>1470</v>
      </c>
      <c r="B477" t="s">
        <v>1471</v>
      </c>
      <c r="C477" t="s">
        <v>52</v>
      </c>
      <c r="D477">
        <v>4.899</v>
      </c>
      <c r="E477">
        <v>5028</v>
      </c>
      <c r="F477">
        <v>16</v>
      </c>
      <c r="G477" t="s">
        <v>62</v>
      </c>
      <c r="H477" t="s">
        <v>1472</v>
      </c>
      <c r="I477" t="s">
        <v>29</v>
      </c>
      <c r="J477" t="s">
        <v>30</v>
      </c>
      <c r="K477" t="s">
        <v>30</v>
      </c>
      <c r="L477" t="s">
        <v>30</v>
      </c>
      <c r="M477" t="s">
        <v>97</v>
      </c>
      <c r="N477">
        <v>15</v>
      </c>
      <c r="O477">
        <v>2</v>
      </c>
      <c r="P477">
        <v>0</v>
      </c>
      <c r="Q477">
        <v>1026.3319044703</v>
      </c>
      <c r="R477">
        <v>3.265972647479078</v>
      </c>
      <c r="S477">
        <v>314.25</v>
      </c>
      <c r="T477">
        <v>0</v>
      </c>
      <c r="U477">
        <v>0</v>
      </c>
      <c r="V477">
        <v>0</v>
      </c>
      <c r="W477">
        <v>8.522976436171964</v>
      </c>
      <c r="X477">
        <v>0</v>
      </c>
    </row>
    <row r="478" spans="1:24">
      <c r="A478" t="s">
        <v>1473</v>
      </c>
      <c r="B478" t="s">
        <v>1474</v>
      </c>
      <c r="C478" t="s">
        <v>35</v>
      </c>
      <c r="D478">
        <v>3.981</v>
      </c>
      <c r="E478">
        <v>7921</v>
      </c>
      <c r="F478">
        <v>17</v>
      </c>
      <c r="G478" t="s">
        <v>62</v>
      </c>
      <c r="H478" t="s">
        <v>1475</v>
      </c>
      <c r="I478" t="s">
        <v>29</v>
      </c>
      <c r="J478" t="s">
        <v>30</v>
      </c>
      <c r="K478" t="s">
        <v>30</v>
      </c>
      <c r="L478" t="s">
        <v>30</v>
      </c>
      <c r="M478" t="s">
        <v>76</v>
      </c>
      <c r="N478">
        <v>15</v>
      </c>
      <c r="O478">
        <v>2</v>
      </c>
      <c r="P478">
        <v>0</v>
      </c>
      <c r="Q478">
        <v>1989.70108013062</v>
      </c>
      <c r="R478">
        <v>4.270283848279327</v>
      </c>
      <c r="S478">
        <v>465.9411764705882</v>
      </c>
      <c r="T478">
        <v>0</v>
      </c>
      <c r="U478">
        <v>0</v>
      </c>
      <c r="V478">
        <v>0</v>
      </c>
      <c r="W478">
        <v>8.977398978181862</v>
      </c>
      <c r="X478">
        <v>0</v>
      </c>
    </row>
    <row r="479" spans="1:24">
      <c r="A479" t="s">
        <v>1476</v>
      </c>
      <c r="B479" t="s">
        <v>1477</v>
      </c>
      <c r="C479" t="s">
        <v>26</v>
      </c>
      <c r="D479">
        <v>1.993</v>
      </c>
      <c r="E479">
        <v>2524</v>
      </c>
      <c r="F479">
        <v>12</v>
      </c>
      <c r="G479" t="s">
        <v>62</v>
      </c>
      <c r="H479" t="s">
        <v>1478</v>
      </c>
      <c r="I479" t="s">
        <v>29</v>
      </c>
      <c r="J479" t="s">
        <v>30</v>
      </c>
      <c r="K479" t="s">
        <v>38</v>
      </c>
      <c r="L479" t="s">
        <v>31</v>
      </c>
      <c r="M479" t="s">
        <v>39</v>
      </c>
      <c r="N479">
        <v>15</v>
      </c>
      <c r="O479">
        <v>2</v>
      </c>
      <c r="P479">
        <v>0</v>
      </c>
      <c r="Q479">
        <v>1266.432513798294</v>
      </c>
      <c r="R479">
        <v>6.021073758153537</v>
      </c>
      <c r="S479">
        <v>210.3333333333333</v>
      </c>
      <c r="T479">
        <v>0</v>
      </c>
      <c r="U479">
        <v>0</v>
      </c>
      <c r="V479">
        <v>0</v>
      </c>
      <c r="W479">
        <v>7.83399634170946</v>
      </c>
      <c r="X479">
        <v>0</v>
      </c>
    </row>
    <row r="480" spans="1:24">
      <c r="A480" t="s">
        <v>1479</v>
      </c>
      <c r="B480" t="s">
        <v>1480</v>
      </c>
      <c r="C480" t="s">
        <v>35</v>
      </c>
      <c r="D480">
        <v>2.411</v>
      </c>
      <c r="E480">
        <v>2219</v>
      </c>
      <c r="F480">
        <v>12</v>
      </c>
      <c r="G480" t="s">
        <v>27</v>
      </c>
      <c r="H480" t="s">
        <v>1481</v>
      </c>
      <c r="I480" t="s">
        <v>29</v>
      </c>
      <c r="J480" t="s">
        <v>30</v>
      </c>
      <c r="K480" t="s">
        <v>30</v>
      </c>
      <c r="L480" t="s">
        <v>31</v>
      </c>
      <c r="M480" t="s">
        <v>44</v>
      </c>
      <c r="N480">
        <v>15</v>
      </c>
      <c r="O480">
        <v>2</v>
      </c>
      <c r="P480">
        <v>0</v>
      </c>
      <c r="Q480">
        <v>920.3649937785152</v>
      </c>
      <c r="R480">
        <v>4.977187888842804</v>
      </c>
      <c r="S480">
        <v>184.9166666666666</v>
      </c>
      <c r="T480">
        <v>0</v>
      </c>
      <c r="U480">
        <v>0</v>
      </c>
      <c r="V480">
        <v>0</v>
      </c>
      <c r="W480">
        <v>7.705262474866325</v>
      </c>
      <c r="X480">
        <v>0</v>
      </c>
    </row>
    <row r="481" spans="1:24">
      <c r="A481" t="s">
        <v>1482</v>
      </c>
      <c r="B481" t="s">
        <v>1483</v>
      </c>
      <c r="C481" t="s">
        <v>35</v>
      </c>
      <c r="D481">
        <v>5.545</v>
      </c>
      <c r="E481">
        <v>1052</v>
      </c>
      <c r="F481">
        <v>15</v>
      </c>
      <c r="G481" t="s">
        <v>36</v>
      </c>
      <c r="H481" t="s">
        <v>1484</v>
      </c>
      <c r="I481" t="s">
        <v>29</v>
      </c>
      <c r="J481" t="s">
        <v>38</v>
      </c>
      <c r="K481" t="s">
        <v>30</v>
      </c>
      <c r="L481" t="s">
        <v>30</v>
      </c>
      <c r="M481" t="s">
        <v>32</v>
      </c>
      <c r="N481">
        <v>15</v>
      </c>
      <c r="O481">
        <v>2</v>
      </c>
      <c r="P481">
        <v>0</v>
      </c>
      <c r="Q481">
        <v>189.7204688908927</v>
      </c>
      <c r="R481">
        <v>2.705139765554553</v>
      </c>
      <c r="S481">
        <v>70.13333333333334</v>
      </c>
      <c r="T481">
        <v>0</v>
      </c>
      <c r="U481">
        <v>0</v>
      </c>
      <c r="V481">
        <v>0</v>
      </c>
      <c r="W481">
        <v>6.959398512133975</v>
      </c>
      <c r="X481">
        <v>0</v>
      </c>
    </row>
    <row r="482" spans="1:24">
      <c r="A482" t="s">
        <v>1485</v>
      </c>
      <c r="B482" t="s">
        <v>1486</v>
      </c>
      <c r="C482" t="s">
        <v>26</v>
      </c>
      <c r="D482">
        <v>4.382</v>
      </c>
      <c r="E482">
        <v>5464</v>
      </c>
      <c r="F482">
        <v>14</v>
      </c>
      <c r="G482" t="s">
        <v>27</v>
      </c>
      <c r="H482" t="s">
        <v>1487</v>
      </c>
      <c r="I482" t="s">
        <v>29</v>
      </c>
      <c r="J482" t="s">
        <v>30</v>
      </c>
      <c r="K482" t="s">
        <v>31</v>
      </c>
      <c r="L482" t="s">
        <v>38</v>
      </c>
      <c r="M482" t="s">
        <v>44</v>
      </c>
      <c r="N482">
        <v>16</v>
      </c>
      <c r="O482">
        <v>2</v>
      </c>
      <c r="P482">
        <v>0</v>
      </c>
      <c r="Q482">
        <v>1246.919214970333</v>
      </c>
      <c r="R482">
        <v>3.194888178913738</v>
      </c>
      <c r="S482">
        <v>390.2857142857143</v>
      </c>
      <c r="T482">
        <v>0</v>
      </c>
      <c r="U482">
        <v>0</v>
      </c>
      <c r="V482">
        <v>0</v>
      </c>
      <c r="W482">
        <v>8.606119400610639</v>
      </c>
      <c r="X482">
        <v>0</v>
      </c>
    </row>
    <row r="483" spans="1:24">
      <c r="A483" t="s">
        <v>1488</v>
      </c>
      <c r="B483" t="s">
        <v>1489</v>
      </c>
      <c r="C483" t="s">
        <v>26</v>
      </c>
      <c r="D483">
        <v>7.055</v>
      </c>
      <c r="E483">
        <v>1036</v>
      </c>
      <c r="F483">
        <v>14</v>
      </c>
      <c r="G483" t="s">
        <v>27</v>
      </c>
      <c r="H483" t="s">
        <v>1490</v>
      </c>
      <c r="I483" t="s">
        <v>29</v>
      </c>
      <c r="J483" t="s">
        <v>30</v>
      </c>
      <c r="K483" t="s">
        <v>31</v>
      </c>
      <c r="L483" t="s">
        <v>30</v>
      </c>
      <c r="M483" t="s">
        <v>97</v>
      </c>
      <c r="N483">
        <v>16</v>
      </c>
      <c r="O483">
        <v>2</v>
      </c>
      <c r="P483">
        <v>0</v>
      </c>
      <c r="Q483">
        <v>146.8462083628632</v>
      </c>
      <c r="R483">
        <v>1.984408221119773</v>
      </c>
      <c r="S483">
        <v>74</v>
      </c>
      <c r="T483">
        <v>0</v>
      </c>
      <c r="U483">
        <v>0</v>
      </c>
      <c r="V483">
        <v>0</v>
      </c>
      <c r="W483">
        <v>6.944087208229528</v>
      </c>
      <c r="X483">
        <v>0</v>
      </c>
    </row>
    <row r="484" spans="1:24">
      <c r="A484" t="s">
        <v>1491</v>
      </c>
      <c r="B484" t="s">
        <v>1492</v>
      </c>
      <c r="C484" t="s">
        <v>35</v>
      </c>
      <c r="D484">
        <v>3.222</v>
      </c>
      <c r="E484">
        <v>4216</v>
      </c>
      <c r="F484">
        <v>19</v>
      </c>
      <c r="G484" t="s">
        <v>47</v>
      </c>
      <c r="H484" t="s">
        <v>1493</v>
      </c>
      <c r="I484" t="s">
        <v>29</v>
      </c>
      <c r="J484" t="s">
        <v>31</v>
      </c>
      <c r="K484" t="s">
        <v>31</v>
      </c>
      <c r="L484" t="s">
        <v>38</v>
      </c>
      <c r="M484" t="s">
        <v>97</v>
      </c>
      <c r="N484">
        <v>16</v>
      </c>
      <c r="O484">
        <v>2</v>
      </c>
      <c r="P484">
        <v>0</v>
      </c>
      <c r="Q484">
        <v>1308.504034761018</v>
      </c>
      <c r="R484">
        <v>5.896958410924891</v>
      </c>
      <c r="S484">
        <v>221.8947368421053</v>
      </c>
      <c r="T484">
        <v>0</v>
      </c>
      <c r="U484">
        <v>0</v>
      </c>
      <c r="V484">
        <v>0</v>
      </c>
      <c r="W484">
        <v>8.346879253746559</v>
      </c>
      <c r="X484">
        <v>0</v>
      </c>
    </row>
    <row r="485" spans="1:24">
      <c r="A485" t="s">
        <v>1494</v>
      </c>
      <c r="B485" t="s">
        <v>1495</v>
      </c>
      <c r="C485" t="s">
        <v>35</v>
      </c>
      <c r="D485">
        <v>2.914</v>
      </c>
      <c r="E485">
        <v>5203</v>
      </c>
      <c r="F485">
        <v>14</v>
      </c>
      <c r="G485" t="s">
        <v>62</v>
      </c>
      <c r="H485" t="s">
        <v>1496</v>
      </c>
      <c r="I485" t="s">
        <v>29</v>
      </c>
      <c r="J485" t="s">
        <v>30</v>
      </c>
      <c r="K485" t="s">
        <v>30</v>
      </c>
      <c r="L485" t="s">
        <v>31</v>
      </c>
      <c r="M485" t="s">
        <v>44</v>
      </c>
      <c r="N485">
        <v>16</v>
      </c>
      <c r="O485">
        <v>2</v>
      </c>
      <c r="P485">
        <v>0</v>
      </c>
      <c r="Q485">
        <v>1785.518188057653</v>
      </c>
      <c r="R485">
        <v>4.804392587508579</v>
      </c>
      <c r="S485">
        <v>371.6428571428572</v>
      </c>
      <c r="T485">
        <v>0</v>
      </c>
      <c r="U485">
        <v>0</v>
      </c>
      <c r="V485">
        <v>0</v>
      </c>
      <c r="W485">
        <v>8.557182839632397</v>
      </c>
      <c r="X485">
        <v>0</v>
      </c>
    </row>
    <row r="486" spans="1:24">
      <c r="A486" t="s">
        <v>1497</v>
      </c>
      <c r="B486" t="s">
        <v>1498</v>
      </c>
      <c r="C486" t="s">
        <v>52</v>
      </c>
      <c r="D486">
        <v>2.469</v>
      </c>
      <c r="E486">
        <v>12312</v>
      </c>
      <c r="F486">
        <v>17</v>
      </c>
      <c r="G486" t="s">
        <v>36</v>
      </c>
      <c r="H486" t="s">
        <v>1499</v>
      </c>
      <c r="I486" t="s">
        <v>29</v>
      </c>
      <c r="J486" t="s">
        <v>38</v>
      </c>
      <c r="K486" t="s">
        <v>30</v>
      </c>
      <c r="L486" t="s">
        <v>31</v>
      </c>
      <c r="M486" t="s">
        <v>32</v>
      </c>
      <c r="N486">
        <v>16</v>
      </c>
      <c r="O486">
        <v>2</v>
      </c>
      <c r="P486">
        <v>0</v>
      </c>
      <c r="Q486">
        <v>4986.634264884569</v>
      </c>
      <c r="R486">
        <v>6.885378695828271</v>
      </c>
      <c r="S486">
        <v>724.2352941176471</v>
      </c>
      <c r="T486">
        <v>0</v>
      </c>
      <c r="U486">
        <v>0</v>
      </c>
      <c r="V486">
        <v>1</v>
      </c>
      <c r="W486">
        <v>9.418410893792872</v>
      </c>
      <c r="X486">
        <v>0</v>
      </c>
    </row>
    <row r="487" spans="1:24">
      <c r="A487" t="s">
        <v>1500</v>
      </c>
      <c r="B487" t="s">
        <v>1501</v>
      </c>
      <c r="C487" t="s">
        <v>26</v>
      </c>
      <c r="D487">
        <v>2.195</v>
      </c>
      <c r="E487">
        <v>6709</v>
      </c>
      <c r="F487">
        <v>13</v>
      </c>
      <c r="G487" t="s">
        <v>62</v>
      </c>
      <c r="H487" t="s">
        <v>1502</v>
      </c>
      <c r="I487" t="s">
        <v>29</v>
      </c>
      <c r="J487" t="s">
        <v>30</v>
      </c>
      <c r="K487" t="s">
        <v>30</v>
      </c>
      <c r="L487" t="s">
        <v>31</v>
      </c>
      <c r="M487" t="s">
        <v>83</v>
      </c>
      <c r="N487">
        <v>16</v>
      </c>
      <c r="O487">
        <v>2</v>
      </c>
      <c r="P487">
        <v>0</v>
      </c>
      <c r="Q487">
        <v>3056.492027334852</v>
      </c>
      <c r="R487">
        <v>5.922551252847381</v>
      </c>
      <c r="S487">
        <v>516.0769230769231</v>
      </c>
      <c r="T487">
        <v>0</v>
      </c>
      <c r="U487">
        <v>0</v>
      </c>
      <c r="V487">
        <v>0</v>
      </c>
      <c r="W487">
        <v>8.811354229965728</v>
      </c>
      <c r="X487">
        <v>0</v>
      </c>
    </row>
    <row r="488" spans="1:24">
      <c r="A488" t="s">
        <v>1503</v>
      </c>
      <c r="B488" t="s">
        <v>1504</v>
      </c>
      <c r="C488" t="s">
        <v>26</v>
      </c>
      <c r="D488">
        <v>3.122</v>
      </c>
      <c r="E488">
        <v>4648</v>
      </c>
      <c r="F488">
        <v>17</v>
      </c>
      <c r="G488" t="s">
        <v>47</v>
      </c>
      <c r="H488" t="s">
        <v>1505</v>
      </c>
      <c r="I488" t="s">
        <v>29</v>
      </c>
      <c r="J488" t="s">
        <v>31</v>
      </c>
      <c r="K488" t="s">
        <v>31</v>
      </c>
      <c r="L488" t="s">
        <v>31</v>
      </c>
      <c r="M488" t="s">
        <v>44</v>
      </c>
      <c r="N488">
        <v>16</v>
      </c>
      <c r="O488">
        <v>2</v>
      </c>
      <c r="P488">
        <v>0</v>
      </c>
      <c r="Q488">
        <v>1488.789237668161</v>
      </c>
      <c r="R488">
        <v>5.445227418321589</v>
      </c>
      <c r="S488">
        <v>273.4117647058824</v>
      </c>
      <c r="T488">
        <v>0</v>
      </c>
      <c r="U488">
        <v>0</v>
      </c>
      <c r="V488">
        <v>0</v>
      </c>
      <c r="W488">
        <v>8.444407421690585</v>
      </c>
      <c r="X488">
        <v>0</v>
      </c>
    </row>
    <row r="489" spans="1:24">
      <c r="A489" t="s">
        <v>1506</v>
      </c>
      <c r="B489" t="s">
        <v>1507</v>
      </c>
      <c r="C489" t="s">
        <v>26</v>
      </c>
      <c r="D489">
        <v>5.459</v>
      </c>
      <c r="E489">
        <v>1051</v>
      </c>
      <c r="F489">
        <v>15</v>
      </c>
      <c r="G489" t="s">
        <v>62</v>
      </c>
      <c r="H489" t="s">
        <v>1508</v>
      </c>
      <c r="I489" t="s">
        <v>29</v>
      </c>
      <c r="J489" t="s">
        <v>30</v>
      </c>
      <c r="K489" t="s">
        <v>30</v>
      </c>
      <c r="L489" t="s">
        <v>38</v>
      </c>
      <c r="M489" t="s">
        <v>39</v>
      </c>
      <c r="N489">
        <v>16</v>
      </c>
      <c r="O489">
        <v>2</v>
      </c>
      <c r="P489">
        <v>0</v>
      </c>
      <c r="Q489">
        <v>192.526103681993</v>
      </c>
      <c r="R489">
        <v>2.747755999267265</v>
      </c>
      <c r="S489">
        <v>70.06666666666666</v>
      </c>
      <c r="T489">
        <v>0</v>
      </c>
      <c r="U489">
        <v>0</v>
      </c>
      <c r="V489">
        <v>0</v>
      </c>
      <c r="W489">
        <v>6.958448393297656</v>
      </c>
      <c r="X489">
        <v>0</v>
      </c>
    </row>
    <row r="490" spans="1:24">
      <c r="A490" t="s">
        <v>1509</v>
      </c>
      <c r="B490" t="s">
        <v>1510</v>
      </c>
      <c r="C490" t="s">
        <v>35</v>
      </c>
      <c r="D490">
        <v>1.242</v>
      </c>
      <c r="E490">
        <v>1266</v>
      </c>
      <c r="F490">
        <v>13</v>
      </c>
      <c r="G490" t="s">
        <v>27</v>
      </c>
      <c r="H490" t="s">
        <v>1511</v>
      </c>
      <c r="I490" t="s">
        <v>29</v>
      </c>
      <c r="J490" t="s">
        <v>30</v>
      </c>
      <c r="K490" t="s">
        <v>30</v>
      </c>
      <c r="L490" t="s">
        <v>30</v>
      </c>
      <c r="M490" t="s">
        <v>97</v>
      </c>
      <c r="N490">
        <v>16</v>
      </c>
      <c r="O490">
        <v>2</v>
      </c>
      <c r="P490">
        <v>0</v>
      </c>
      <c r="Q490">
        <v>1019.323671497584</v>
      </c>
      <c r="R490">
        <v>10.46698872785829</v>
      </c>
      <c r="S490">
        <v>97.3846153846154</v>
      </c>
      <c r="T490">
        <v>0</v>
      </c>
      <c r="U490">
        <v>0</v>
      </c>
      <c r="V490">
        <v>0</v>
      </c>
      <c r="W490">
        <v>7.144407180321139</v>
      </c>
      <c r="X490">
        <v>0</v>
      </c>
    </row>
    <row r="491" spans="1:24">
      <c r="A491" t="s">
        <v>1512</v>
      </c>
      <c r="B491" t="s">
        <v>1513</v>
      </c>
      <c r="C491" t="s">
        <v>35</v>
      </c>
      <c r="D491">
        <v>2.883</v>
      </c>
      <c r="E491">
        <v>1672</v>
      </c>
      <c r="F491">
        <v>15</v>
      </c>
      <c r="G491" t="s">
        <v>62</v>
      </c>
      <c r="H491" t="s">
        <v>1514</v>
      </c>
      <c r="I491" t="s">
        <v>29</v>
      </c>
      <c r="J491" t="s">
        <v>30</v>
      </c>
      <c r="K491" t="s">
        <v>31</v>
      </c>
      <c r="L491" t="s">
        <v>31</v>
      </c>
      <c r="M491" t="s">
        <v>32</v>
      </c>
      <c r="N491">
        <v>16</v>
      </c>
      <c r="O491">
        <v>2</v>
      </c>
      <c r="P491">
        <v>0</v>
      </c>
      <c r="Q491">
        <v>579.9514394727714</v>
      </c>
      <c r="R491">
        <v>5.202913631633715</v>
      </c>
      <c r="S491">
        <v>111.4666666666667</v>
      </c>
      <c r="T491">
        <v>0</v>
      </c>
      <c r="U491">
        <v>0</v>
      </c>
      <c r="V491">
        <v>0</v>
      </c>
      <c r="W491">
        <v>7.422373700986824</v>
      </c>
      <c r="X491">
        <v>0</v>
      </c>
    </row>
    <row r="492" spans="1:24">
      <c r="A492" t="s">
        <v>1515</v>
      </c>
      <c r="B492" t="s">
        <v>1516</v>
      </c>
      <c r="C492" t="s">
        <v>35</v>
      </c>
      <c r="D492">
        <v>0.137</v>
      </c>
      <c r="E492">
        <v>2450</v>
      </c>
      <c r="F492">
        <v>12</v>
      </c>
      <c r="G492" t="s">
        <v>62</v>
      </c>
      <c r="H492" t="s">
        <v>1517</v>
      </c>
      <c r="I492" t="s">
        <v>29</v>
      </c>
      <c r="J492" t="s">
        <v>30</v>
      </c>
      <c r="K492" t="s">
        <v>30</v>
      </c>
      <c r="L492" t="s">
        <v>31</v>
      </c>
      <c r="M492" t="s">
        <v>32</v>
      </c>
      <c r="N492">
        <v>16</v>
      </c>
      <c r="O492">
        <v>2</v>
      </c>
      <c r="P492">
        <v>0</v>
      </c>
      <c r="Q492">
        <v>17883.21167883211</v>
      </c>
      <c r="R492">
        <v>87.5912408759124</v>
      </c>
      <c r="S492">
        <v>204.1666666666666</v>
      </c>
      <c r="T492">
        <v>0</v>
      </c>
      <c r="U492">
        <v>0</v>
      </c>
      <c r="V492">
        <v>0</v>
      </c>
      <c r="W492">
        <v>7.804251383528112</v>
      </c>
      <c r="X492">
        <v>0</v>
      </c>
    </row>
    <row r="493" spans="1:24">
      <c r="A493" t="s">
        <v>1518</v>
      </c>
      <c r="B493" t="s">
        <v>1519</v>
      </c>
      <c r="C493" t="s">
        <v>26</v>
      </c>
      <c r="D493">
        <v>3.408</v>
      </c>
      <c r="E493">
        <v>720</v>
      </c>
      <c r="F493">
        <v>17</v>
      </c>
      <c r="G493" t="s">
        <v>47</v>
      </c>
      <c r="H493" t="s">
        <v>1520</v>
      </c>
      <c r="I493" t="s">
        <v>29</v>
      </c>
      <c r="J493" t="s">
        <v>31</v>
      </c>
      <c r="K493" t="s">
        <v>31</v>
      </c>
      <c r="L493" t="s">
        <v>31</v>
      </c>
      <c r="M493" t="s">
        <v>44</v>
      </c>
      <c r="N493">
        <v>16</v>
      </c>
      <c r="O493">
        <v>2</v>
      </c>
      <c r="P493">
        <v>0</v>
      </c>
      <c r="Q493">
        <v>211.2676056338028</v>
      </c>
      <c r="R493">
        <v>4.988262910798122</v>
      </c>
      <c r="S493">
        <v>42.35294117647059</v>
      </c>
      <c r="T493">
        <v>0</v>
      </c>
      <c r="U493">
        <v>0</v>
      </c>
      <c r="V493">
        <v>0</v>
      </c>
      <c r="W493">
        <v>6.580639137284949</v>
      </c>
      <c r="X493">
        <v>0</v>
      </c>
    </row>
    <row r="494" spans="1:24">
      <c r="A494" t="s">
        <v>1521</v>
      </c>
      <c r="B494" t="s">
        <v>1522</v>
      </c>
      <c r="C494" t="s">
        <v>35</v>
      </c>
      <c r="D494">
        <v>0.831</v>
      </c>
      <c r="E494">
        <v>2643</v>
      </c>
      <c r="F494">
        <v>21</v>
      </c>
      <c r="G494" t="s">
        <v>47</v>
      </c>
      <c r="H494" t="s">
        <v>1523</v>
      </c>
      <c r="I494" t="s">
        <v>29</v>
      </c>
      <c r="J494" t="s">
        <v>31</v>
      </c>
      <c r="K494" t="s">
        <v>30</v>
      </c>
      <c r="L494" t="s">
        <v>38</v>
      </c>
      <c r="M494" t="s">
        <v>76</v>
      </c>
      <c r="N494">
        <v>17</v>
      </c>
      <c r="O494">
        <v>2</v>
      </c>
      <c r="P494">
        <v>0</v>
      </c>
      <c r="Q494">
        <v>3180.505415162455</v>
      </c>
      <c r="R494">
        <v>25.27075812274368</v>
      </c>
      <c r="S494">
        <v>125.8571428571429</v>
      </c>
      <c r="T494">
        <v>0</v>
      </c>
      <c r="U494">
        <v>0</v>
      </c>
      <c r="V494">
        <v>0</v>
      </c>
      <c r="W494">
        <v>7.880048200971577</v>
      </c>
      <c r="X494">
        <v>0</v>
      </c>
    </row>
    <row r="495" spans="1:24">
      <c r="A495" t="s">
        <v>1524</v>
      </c>
      <c r="B495" t="s">
        <v>1525</v>
      </c>
      <c r="C495" t="s">
        <v>26</v>
      </c>
      <c r="D495">
        <v>5.045</v>
      </c>
      <c r="E495">
        <v>3187</v>
      </c>
      <c r="F495">
        <v>19</v>
      </c>
      <c r="G495" t="s">
        <v>27</v>
      </c>
      <c r="H495" t="s">
        <v>1526</v>
      </c>
      <c r="I495" t="s">
        <v>29</v>
      </c>
      <c r="J495" t="s">
        <v>30</v>
      </c>
      <c r="K495" t="s">
        <v>30</v>
      </c>
      <c r="L495" t="s">
        <v>31</v>
      </c>
      <c r="M495" t="s">
        <v>97</v>
      </c>
      <c r="N495">
        <v>17</v>
      </c>
      <c r="O495">
        <v>2</v>
      </c>
      <c r="P495">
        <v>0</v>
      </c>
      <c r="Q495">
        <v>631.7145688800792</v>
      </c>
      <c r="R495">
        <v>3.766105054509415</v>
      </c>
      <c r="S495">
        <v>167.7368421052632</v>
      </c>
      <c r="T495">
        <v>0</v>
      </c>
      <c r="U495">
        <v>0</v>
      </c>
      <c r="V495">
        <v>0</v>
      </c>
      <c r="W495">
        <v>8.067149039910106</v>
      </c>
      <c r="X495">
        <v>0</v>
      </c>
    </row>
    <row r="496" spans="1:24">
      <c r="A496" t="s">
        <v>1527</v>
      </c>
      <c r="B496" t="s">
        <v>1528</v>
      </c>
      <c r="C496" t="s">
        <v>26</v>
      </c>
      <c r="D496">
        <v>5.129</v>
      </c>
      <c r="E496">
        <v>2348</v>
      </c>
      <c r="F496">
        <v>18</v>
      </c>
      <c r="G496" t="s">
        <v>27</v>
      </c>
      <c r="H496" t="s">
        <v>1529</v>
      </c>
      <c r="I496" t="s">
        <v>29</v>
      </c>
      <c r="J496" t="s">
        <v>30</v>
      </c>
      <c r="K496" t="s">
        <v>30</v>
      </c>
      <c r="L496" t="s">
        <v>30</v>
      </c>
      <c r="M496" t="s">
        <v>97</v>
      </c>
      <c r="N496">
        <v>17</v>
      </c>
      <c r="O496">
        <v>2</v>
      </c>
      <c r="P496">
        <v>0</v>
      </c>
      <c r="Q496">
        <v>457.7890426983818</v>
      </c>
      <c r="R496">
        <v>3.509456034314681</v>
      </c>
      <c r="S496">
        <v>130.4444444444445</v>
      </c>
      <c r="T496">
        <v>0</v>
      </c>
      <c r="U496">
        <v>0</v>
      </c>
      <c r="V496">
        <v>0</v>
      </c>
      <c r="W496">
        <v>7.761744984658913</v>
      </c>
      <c r="X496">
        <v>0</v>
      </c>
    </row>
    <row r="497" spans="1:24">
      <c r="A497" t="s">
        <v>1530</v>
      </c>
      <c r="B497" t="s">
        <v>1531</v>
      </c>
      <c r="C497" t="s">
        <v>35</v>
      </c>
      <c r="D497">
        <v>2.236</v>
      </c>
      <c r="E497">
        <v>4670</v>
      </c>
      <c r="F497">
        <v>18</v>
      </c>
      <c r="G497" t="s">
        <v>36</v>
      </c>
      <c r="H497" t="s">
        <v>1532</v>
      </c>
      <c r="I497" t="s">
        <v>29</v>
      </c>
      <c r="J497" t="s">
        <v>38</v>
      </c>
      <c r="K497" t="s">
        <v>30</v>
      </c>
      <c r="L497" t="s">
        <v>30</v>
      </c>
      <c r="M497" t="s">
        <v>44</v>
      </c>
      <c r="N497">
        <v>17</v>
      </c>
      <c r="O497">
        <v>2</v>
      </c>
      <c r="P497">
        <v>0</v>
      </c>
      <c r="Q497">
        <v>2088.550983899821</v>
      </c>
      <c r="R497">
        <v>8.050089445438282</v>
      </c>
      <c r="S497">
        <v>259.4444444444445</v>
      </c>
      <c r="T497">
        <v>0</v>
      </c>
      <c r="U497">
        <v>0</v>
      </c>
      <c r="V497">
        <v>0</v>
      </c>
      <c r="W497">
        <v>8.449128460502108</v>
      </c>
      <c r="X497">
        <v>0</v>
      </c>
    </row>
    <row r="498" spans="1:24">
      <c r="A498" t="s">
        <v>1533</v>
      </c>
      <c r="B498" t="s">
        <v>1534</v>
      </c>
      <c r="C498" t="s">
        <v>35</v>
      </c>
      <c r="D498">
        <v>1.363</v>
      </c>
      <c r="E498">
        <v>6966</v>
      </c>
      <c r="F498">
        <v>18</v>
      </c>
      <c r="G498" t="s">
        <v>62</v>
      </c>
      <c r="H498" t="s">
        <v>1535</v>
      </c>
      <c r="I498" t="s">
        <v>29</v>
      </c>
      <c r="J498" t="s">
        <v>30</v>
      </c>
      <c r="K498" t="s">
        <v>38</v>
      </c>
      <c r="L498" t="s">
        <v>38</v>
      </c>
      <c r="M498" t="s">
        <v>32</v>
      </c>
      <c r="N498">
        <v>17</v>
      </c>
      <c r="O498">
        <v>2</v>
      </c>
      <c r="P498">
        <v>0</v>
      </c>
      <c r="Q498">
        <v>5110.785033015407</v>
      </c>
      <c r="R498">
        <v>13.2061628760088</v>
      </c>
      <c r="S498">
        <v>387</v>
      </c>
      <c r="T498">
        <v>0</v>
      </c>
      <c r="U498">
        <v>0</v>
      </c>
      <c r="V498">
        <v>0</v>
      </c>
      <c r="W498">
        <v>8.848939995030118</v>
      </c>
      <c r="X498">
        <v>0</v>
      </c>
    </row>
    <row r="499" spans="1:24">
      <c r="A499" t="s">
        <v>1536</v>
      </c>
      <c r="B499" t="s">
        <v>1537</v>
      </c>
      <c r="C499" t="s">
        <v>35</v>
      </c>
      <c r="D499">
        <v>3.748</v>
      </c>
      <c r="E499">
        <v>4050</v>
      </c>
      <c r="F499">
        <v>20</v>
      </c>
      <c r="G499" t="s">
        <v>27</v>
      </c>
      <c r="H499" t="s">
        <v>1538</v>
      </c>
      <c r="I499" t="s">
        <v>29</v>
      </c>
      <c r="J499" t="s">
        <v>30</v>
      </c>
      <c r="K499" t="s">
        <v>31</v>
      </c>
      <c r="L499" t="s">
        <v>30</v>
      </c>
      <c r="M499" t="s">
        <v>32</v>
      </c>
      <c r="N499">
        <v>17</v>
      </c>
      <c r="O499">
        <v>2</v>
      </c>
      <c r="P499">
        <v>0</v>
      </c>
      <c r="Q499">
        <v>1080.576307363927</v>
      </c>
      <c r="R499">
        <v>5.336179295624333</v>
      </c>
      <c r="S499">
        <v>202.5</v>
      </c>
      <c r="T499">
        <v>0</v>
      </c>
      <c r="U499">
        <v>0</v>
      </c>
      <c r="V499">
        <v>0</v>
      </c>
      <c r="W499">
        <v>8.306719043202691</v>
      </c>
      <c r="X499">
        <v>0</v>
      </c>
    </row>
    <row r="500" spans="1:24">
      <c r="A500" t="s">
        <v>1539</v>
      </c>
      <c r="B500" t="s">
        <v>1540</v>
      </c>
      <c r="C500" t="s">
        <v>26</v>
      </c>
      <c r="D500">
        <v>2.961</v>
      </c>
      <c r="E500">
        <v>6995</v>
      </c>
      <c r="F500">
        <v>26</v>
      </c>
      <c r="G500" t="s">
        <v>36</v>
      </c>
      <c r="H500" t="s">
        <v>1541</v>
      </c>
      <c r="I500" t="s">
        <v>29</v>
      </c>
      <c r="J500" t="s">
        <v>38</v>
      </c>
      <c r="K500" t="s">
        <v>30</v>
      </c>
      <c r="L500" t="s">
        <v>31</v>
      </c>
      <c r="M500" t="s">
        <v>44</v>
      </c>
      <c r="N500">
        <v>17</v>
      </c>
      <c r="O500">
        <v>2</v>
      </c>
      <c r="P500">
        <v>0</v>
      </c>
      <c r="Q500">
        <v>2362.377575143533</v>
      </c>
      <c r="R500">
        <v>8.780817291455589</v>
      </c>
      <c r="S500">
        <v>269.0384615384615</v>
      </c>
      <c r="T500">
        <v>0</v>
      </c>
      <c r="U500">
        <v>0</v>
      </c>
      <c r="V500">
        <v>0</v>
      </c>
      <c r="W500">
        <v>8.853093836138493</v>
      </c>
      <c r="X500">
        <v>0</v>
      </c>
    </row>
    <row r="501" spans="1:24">
      <c r="A501" t="s">
        <v>1542</v>
      </c>
      <c r="B501" t="s">
        <v>1543</v>
      </c>
      <c r="C501" t="s">
        <v>26</v>
      </c>
      <c r="D501">
        <v>5.212</v>
      </c>
      <c r="E501">
        <v>5001</v>
      </c>
      <c r="F501">
        <v>18</v>
      </c>
      <c r="G501" t="s">
        <v>62</v>
      </c>
      <c r="H501" t="s">
        <v>1544</v>
      </c>
      <c r="I501" t="s">
        <v>29</v>
      </c>
      <c r="J501" t="s">
        <v>30</v>
      </c>
      <c r="K501" t="s">
        <v>30</v>
      </c>
      <c r="L501" t="s">
        <v>30</v>
      </c>
      <c r="M501" t="s">
        <v>44</v>
      </c>
      <c r="N501">
        <v>17</v>
      </c>
      <c r="O501">
        <v>2</v>
      </c>
      <c r="P501">
        <v>0</v>
      </c>
      <c r="Q501">
        <v>959.51650038373</v>
      </c>
      <c r="R501">
        <v>3.453568687643899</v>
      </c>
      <c r="S501">
        <v>277.8333333333333</v>
      </c>
      <c r="T501">
        <v>0</v>
      </c>
      <c r="U501">
        <v>0</v>
      </c>
      <c r="V501">
        <v>0</v>
      </c>
      <c r="W501">
        <v>8.517593111437565</v>
      </c>
      <c r="X501">
        <v>0</v>
      </c>
    </row>
    <row r="502" spans="1:24">
      <c r="A502" t="s">
        <v>1545</v>
      </c>
      <c r="B502" t="s">
        <v>1546</v>
      </c>
      <c r="C502" t="s">
        <v>35</v>
      </c>
      <c r="D502">
        <v>3.289</v>
      </c>
      <c r="E502">
        <v>6300</v>
      </c>
      <c r="F502">
        <v>15</v>
      </c>
      <c r="G502" t="s">
        <v>62</v>
      </c>
      <c r="H502" t="s">
        <v>1547</v>
      </c>
      <c r="I502" t="s">
        <v>29</v>
      </c>
      <c r="J502" t="s">
        <v>30</v>
      </c>
      <c r="K502" t="s">
        <v>31</v>
      </c>
      <c r="L502" t="s">
        <v>31</v>
      </c>
      <c r="M502" t="s">
        <v>97</v>
      </c>
      <c r="N502">
        <v>17</v>
      </c>
      <c r="O502">
        <v>2</v>
      </c>
      <c r="P502">
        <v>0</v>
      </c>
      <c r="Q502">
        <v>1915.475828519307</v>
      </c>
      <c r="R502">
        <v>4.560656734569778</v>
      </c>
      <c r="S502">
        <v>420</v>
      </c>
      <c r="T502">
        <v>0</v>
      </c>
      <c r="U502">
        <v>0</v>
      </c>
      <c r="V502">
        <v>0</v>
      </c>
      <c r="W502">
        <v>8.748463629942055</v>
      </c>
      <c r="X502">
        <v>0</v>
      </c>
    </row>
    <row r="503" spans="1:24">
      <c r="A503" t="s">
        <v>1548</v>
      </c>
      <c r="B503" t="s">
        <v>1549</v>
      </c>
      <c r="C503" t="s">
        <v>52</v>
      </c>
      <c r="D503">
        <v>0.732</v>
      </c>
      <c r="E503">
        <v>3290</v>
      </c>
      <c r="F503">
        <v>13</v>
      </c>
      <c r="G503" t="s">
        <v>27</v>
      </c>
      <c r="H503" t="s">
        <v>1550</v>
      </c>
      <c r="I503" t="s">
        <v>29</v>
      </c>
      <c r="J503" t="s">
        <v>30</v>
      </c>
      <c r="K503" t="s">
        <v>30</v>
      </c>
      <c r="L503" t="s">
        <v>31</v>
      </c>
      <c r="M503" t="s">
        <v>44</v>
      </c>
      <c r="N503">
        <v>17</v>
      </c>
      <c r="O503">
        <v>2</v>
      </c>
      <c r="P503">
        <v>0</v>
      </c>
      <c r="Q503">
        <v>4494.535519125683</v>
      </c>
      <c r="R503">
        <v>17.75956284153006</v>
      </c>
      <c r="S503">
        <v>253.0769230769231</v>
      </c>
      <c r="T503">
        <v>0</v>
      </c>
      <c r="U503">
        <v>0</v>
      </c>
      <c r="V503">
        <v>0</v>
      </c>
      <c r="W503">
        <v>8.098946748943339</v>
      </c>
      <c r="X503">
        <v>0</v>
      </c>
    </row>
    <row r="504" spans="1:24">
      <c r="A504" t="s">
        <v>1551</v>
      </c>
      <c r="B504" t="s">
        <v>1552</v>
      </c>
      <c r="C504" t="s">
        <v>35</v>
      </c>
      <c r="D504">
        <v>1.443</v>
      </c>
      <c r="E504">
        <v>452</v>
      </c>
      <c r="F504">
        <v>10</v>
      </c>
      <c r="G504" t="s">
        <v>36</v>
      </c>
      <c r="H504" t="s">
        <v>1553</v>
      </c>
      <c r="I504" t="s">
        <v>29</v>
      </c>
      <c r="J504" t="s">
        <v>38</v>
      </c>
      <c r="K504" t="s">
        <v>30</v>
      </c>
      <c r="L504" t="s">
        <v>30</v>
      </c>
      <c r="M504" t="s">
        <v>39</v>
      </c>
      <c r="N504">
        <v>17</v>
      </c>
      <c r="O504">
        <v>2</v>
      </c>
      <c r="P504">
        <v>0</v>
      </c>
      <c r="Q504">
        <v>313.2363132363132</v>
      </c>
      <c r="R504">
        <v>6.93000693000693</v>
      </c>
      <c r="S504">
        <v>45.2</v>
      </c>
      <c r="T504">
        <v>0</v>
      </c>
      <c r="U504">
        <v>0</v>
      </c>
      <c r="V504">
        <v>0</v>
      </c>
      <c r="W504">
        <v>6.115892125483034</v>
      </c>
      <c r="X504">
        <v>0</v>
      </c>
    </row>
    <row r="505" spans="1:24">
      <c r="A505" t="s">
        <v>1554</v>
      </c>
      <c r="B505" t="s">
        <v>1555</v>
      </c>
      <c r="C505" t="s">
        <v>26</v>
      </c>
      <c r="D505">
        <v>1.233</v>
      </c>
      <c r="E505">
        <v>1032</v>
      </c>
      <c r="F505">
        <v>9</v>
      </c>
      <c r="G505" t="s">
        <v>27</v>
      </c>
      <c r="H505" t="s">
        <v>1556</v>
      </c>
      <c r="I505" t="s">
        <v>43</v>
      </c>
      <c r="J505" t="s">
        <v>30</v>
      </c>
      <c r="K505" t="s">
        <v>30</v>
      </c>
      <c r="L505" t="s">
        <v>30</v>
      </c>
      <c r="M505" t="s">
        <v>39</v>
      </c>
      <c r="N505">
        <v>17</v>
      </c>
      <c r="O505">
        <v>2</v>
      </c>
      <c r="P505">
        <v>0</v>
      </c>
      <c r="Q505">
        <v>836.9829683698296</v>
      </c>
      <c r="R505">
        <v>7.2992700729927</v>
      </c>
      <c r="S505">
        <v>114.6666666666667</v>
      </c>
      <c r="T505">
        <v>0</v>
      </c>
      <c r="U505">
        <v>0</v>
      </c>
      <c r="V505">
        <v>0</v>
      </c>
      <c r="W505">
        <v>6.940222469119639</v>
      </c>
      <c r="X505">
        <v>1</v>
      </c>
    </row>
    <row r="506" spans="1:24">
      <c r="A506" t="s">
        <v>1557</v>
      </c>
      <c r="B506" t="s">
        <v>1558</v>
      </c>
      <c r="C506" t="s">
        <v>26</v>
      </c>
      <c r="D506">
        <v>3.678</v>
      </c>
      <c r="E506">
        <v>698</v>
      </c>
      <c r="F506">
        <v>18</v>
      </c>
      <c r="G506" t="s">
        <v>62</v>
      </c>
      <c r="H506" t="s">
        <v>1559</v>
      </c>
      <c r="I506" t="s">
        <v>29</v>
      </c>
      <c r="J506" t="s">
        <v>30</v>
      </c>
      <c r="K506" t="s">
        <v>30</v>
      </c>
      <c r="L506" t="s">
        <v>30</v>
      </c>
      <c r="M506" t="s">
        <v>44</v>
      </c>
      <c r="N506">
        <v>18</v>
      </c>
      <c r="O506">
        <v>2</v>
      </c>
      <c r="P506">
        <v>0</v>
      </c>
      <c r="Q506">
        <v>189.7770527460576</v>
      </c>
      <c r="R506">
        <v>4.893964110929853</v>
      </c>
      <c r="S506">
        <v>38.77777777777778</v>
      </c>
      <c r="T506">
        <v>0</v>
      </c>
      <c r="U506">
        <v>0</v>
      </c>
      <c r="V506">
        <v>0</v>
      </c>
      <c r="W506">
        <v>6.54965074223381</v>
      </c>
      <c r="X506">
        <v>0</v>
      </c>
    </row>
    <row r="507" spans="1:24">
      <c r="A507" t="s">
        <v>1560</v>
      </c>
      <c r="B507" t="s">
        <v>1561</v>
      </c>
      <c r="C507" t="s">
        <v>35</v>
      </c>
      <c r="D507">
        <v>2.45</v>
      </c>
      <c r="E507">
        <v>751</v>
      </c>
      <c r="F507">
        <v>20</v>
      </c>
      <c r="G507" t="s">
        <v>27</v>
      </c>
      <c r="H507" t="s">
        <v>1562</v>
      </c>
      <c r="I507" t="s">
        <v>29</v>
      </c>
      <c r="J507" t="s">
        <v>30</v>
      </c>
      <c r="K507" t="s">
        <v>30</v>
      </c>
      <c r="L507" t="s">
        <v>30</v>
      </c>
      <c r="M507" t="s">
        <v>44</v>
      </c>
      <c r="N507">
        <v>18</v>
      </c>
      <c r="O507">
        <v>2</v>
      </c>
      <c r="P507">
        <v>0</v>
      </c>
      <c r="Q507">
        <v>306.530612244898</v>
      </c>
      <c r="R507">
        <v>8.163265306122449</v>
      </c>
      <c r="S507">
        <v>37.55</v>
      </c>
      <c r="T507">
        <v>0</v>
      </c>
      <c r="U507">
        <v>0</v>
      </c>
      <c r="V507">
        <v>0</v>
      </c>
      <c r="W507">
        <v>6.62273632394984</v>
      </c>
      <c r="X507">
        <v>0</v>
      </c>
    </row>
    <row r="508" spans="1:24">
      <c r="A508" t="s">
        <v>1563</v>
      </c>
      <c r="B508" t="s">
        <v>1564</v>
      </c>
      <c r="C508" t="s">
        <v>35</v>
      </c>
      <c r="D508">
        <v>2.871</v>
      </c>
      <c r="E508">
        <v>2900</v>
      </c>
      <c r="F508">
        <v>13</v>
      </c>
      <c r="G508" t="s">
        <v>47</v>
      </c>
      <c r="H508" t="s">
        <v>1565</v>
      </c>
      <c r="I508" t="s">
        <v>29</v>
      </c>
      <c r="J508" t="s">
        <v>31</v>
      </c>
      <c r="K508" t="s">
        <v>30</v>
      </c>
      <c r="L508" t="s">
        <v>38</v>
      </c>
      <c r="M508" t="s">
        <v>97</v>
      </c>
      <c r="N508">
        <v>18</v>
      </c>
      <c r="O508">
        <v>2</v>
      </c>
      <c r="P508">
        <v>0</v>
      </c>
      <c r="Q508">
        <v>1010.10101010101</v>
      </c>
      <c r="R508">
        <v>4.528039010797632</v>
      </c>
      <c r="S508">
        <v>223.0769230769231</v>
      </c>
      <c r="T508">
        <v>0</v>
      </c>
      <c r="U508">
        <v>0</v>
      </c>
      <c r="V508">
        <v>0</v>
      </c>
      <c r="W508">
        <v>7.972810784121404</v>
      </c>
      <c r="X508">
        <v>0</v>
      </c>
    </row>
    <row r="509" spans="1:24">
      <c r="A509" t="s">
        <v>1566</v>
      </c>
      <c r="B509" t="s">
        <v>1567</v>
      </c>
      <c r="C509" t="s">
        <v>35</v>
      </c>
      <c r="D509">
        <v>1.933</v>
      </c>
      <c r="E509">
        <v>6076</v>
      </c>
      <c r="F509">
        <v>18</v>
      </c>
      <c r="G509" t="s">
        <v>62</v>
      </c>
      <c r="H509" t="s">
        <v>1568</v>
      </c>
      <c r="I509" t="s">
        <v>29</v>
      </c>
      <c r="J509" t="s">
        <v>30</v>
      </c>
      <c r="K509" t="s">
        <v>31</v>
      </c>
      <c r="L509" t="s">
        <v>31</v>
      </c>
      <c r="M509" t="s">
        <v>97</v>
      </c>
      <c r="N509">
        <v>18</v>
      </c>
      <c r="O509">
        <v>2</v>
      </c>
      <c r="P509">
        <v>0</v>
      </c>
      <c r="Q509">
        <v>3143.300569063631</v>
      </c>
      <c r="R509">
        <v>9.311950336264871</v>
      </c>
      <c r="S509">
        <v>337.5555555555555</v>
      </c>
      <c r="T509">
        <v>0</v>
      </c>
      <c r="U509">
        <v>0</v>
      </c>
      <c r="V509">
        <v>0</v>
      </c>
      <c r="W509">
        <v>8.712266432135355</v>
      </c>
      <c r="X509">
        <v>0</v>
      </c>
    </row>
    <row r="510" spans="1:24">
      <c r="A510" t="s">
        <v>1569</v>
      </c>
      <c r="B510" t="s">
        <v>1570</v>
      </c>
      <c r="C510" t="s">
        <v>35</v>
      </c>
      <c r="D510">
        <v>4.623</v>
      </c>
      <c r="E510">
        <v>5639</v>
      </c>
      <c r="F510">
        <v>18</v>
      </c>
      <c r="G510" t="s">
        <v>47</v>
      </c>
      <c r="H510" t="s">
        <v>1571</v>
      </c>
      <c r="I510" t="s">
        <v>29</v>
      </c>
      <c r="J510" t="s">
        <v>31</v>
      </c>
      <c r="K510" t="s">
        <v>38</v>
      </c>
      <c r="L510" t="s">
        <v>31</v>
      </c>
      <c r="M510" t="s">
        <v>97</v>
      </c>
      <c r="N510">
        <v>18</v>
      </c>
      <c r="O510">
        <v>2</v>
      </c>
      <c r="P510">
        <v>0</v>
      </c>
      <c r="Q510">
        <v>1219.770711659096</v>
      </c>
      <c r="R510">
        <v>3.893575600259572</v>
      </c>
      <c r="S510">
        <v>313.2777777777778</v>
      </c>
      <c r="T510">
        <v>0</v>
      </c>
      <c r="U510">
        <v>0</v>
      </c>
      <c r="V510">
        <v>0</v>
      </c>
      <c r="W510">
        <v>8.637639344492104</v>
      </c>
      <c r="X510">
        <v>0</v>
      </c>
    </row>
    <row r="511" spans="1:24">
      <c r="A511" t="s">
        <v>1572</v>
      </c>
      <c r="B511" t="s">
        <v>1573</v>
      </c>
      <c r="C511" t="s">
        <v>52</v>
      </c>
      <c r="D511">
        <v>2.083</v>
      </c>
      <c r="E511">
        <v>1678</v>
      </c>
      <c r="F511">
        <v>11</v>
      </c>
      <c r="G511" t="s">
        <v>62</v>
      </c>
      <c r="H511" t="s">
        <v>1574</v>
      </c>
      <c r="I511" t="s">
        <v>29</v>
      </c>
      <c r="J511" t="s">
        <v>30</v>
      </c>
      <c r="K511" t="s">
        <v>31</v>
      </c>
      <c r="L511" t="s">
        <v>30</v>
      </c>
      <c r="M511" t="s">
        <v>97</v>
      </c>
      <c r="N511">
        <v>18</v>
      </c>
      <c r="O511">
        <v>2</v>
      </c>
      <c r="P511">
        <v>0</v>
      </c>
      <c r="Q511">
        <v>805.5688910225635</v>
      </c>
      <c r="R511">
        <v>5.28084493518963</v>
      </c>
      <c r="S511">
        <v>152.5454545454545</v>
      </c>
      <c r="T511">
        <v>0</v>
      </c>
      <c r="U511">
        <v>0</v>
      </c>
      <c r="V511">
        <v>0</v>
      </c>
      <c r="W511">
        <v>7.425953657077541</v>
      </c>
      <c r="X511">
        <v>0</v>
      </c>
    </row>
    <row r="512" spans="1:24">
      <c r="A512" t="s">
        <v>1575</v>
      </c>
      <c r="B512" t="s">
        <v>1576</v>
      </c>
      <c r="C512" t="s">
        <v>26</v>
      </c>
      <c r="D512">
        <v>0.48</v>
      </c>
      <c r="E512">
        <v>448</v>
      </c>
      <c r="F512">
        <v>13</v>
      </c>
      <c r="G512" t="s">
        <v>27</v>
      </c>
      <c r="H512" t="s">
        <v>1577</v>
      </c>
      <c r="I512" t="s">
        <v>29</v>
      </c>
      <c r="J512" t="s">
        <v>30</v>
      </c>
      <c r="K512" t="s">
        <v>31</v>
      </c>
      <c r="L512" t="s">
        <v>31</v>
      </c>
      <c r="M512" t="s">
        <v>97</v>
      </c>
      <c r="N512">
        <v>18</v>
      </c>
      <c r="O512">
        <v>2</v>
      </c>
      <c r="P512">
        <v>0</v>
      </c>
      <c r="Q512">
        <v>933.3333333333334</v>
      </c>
      <c r="R512">
        <v>27.08333333333334</v>
      </c>
      <c r="S512">
        <v>34.46153846153846</v>
      </c>
      <c r="T512">
        <v>0</v>
      </c>
      <c r="U512">
        <v>0</v>
      </c>
      <c r="V512">
        <v>0</v>
      </c>
      <c r="W512">
        <v>6.107022887742255</v>
      </c>
      <c r="X512">
        <v>0</v>
      </c>
    </row>
    <row r="513" spans="1:24">
      <c r="A513" t="s">
        <v>1578</v>
      </c>
      <c r="B513" t="s">
        <v>1579</v>
      </c>
      <c r="C513" t="s">
        <v>52</v>
      </c>
      <c r="D513">
        <v>2.732</v>
      </c>
      <c r="E513">
        <v>3150</v>
      </c>
      <c r="F513">
        <v>20</v>
      </c>
      <c r="G513" t="s">
        <v>27</v>
      </c>
      <c r="H513" t="s">
        <v>1580</v>
      </c>
      <c r="I513" t="s">
        <v>29</v>
      </c>
      <c r="J513" t="s">
        <v>30</v>
      </c>
      <c r="K513" t="s">
        <v>30</v>
      </c>
      <c r="L513" t="s">
        <v>30</v>
      </c>
      <c r="M513" t="s">
        <v>44</v>
      </c>
      <c r="N513">
        <v>18</v>
      </c>
      <c r="O513">
        <v>2</v>
      </c>
      <c r="P513">
        <v>0</v>
      </c>
      <c r="Q513">
        <v>1153.001464128843</v>
      </c>
      <c r="R513">
        <v>7.320644216691068</v>
      </c>
      <c r="S513">
        <v>157.5</v>
      </c>
      <c r="T513">
        <v>0</v>
      </c>
      <c r="U513">
        <v>0</v>
      </c>
      <c r="V513">
        <v>0</v>
      </c>
      <c r="W513">
        <v>8.055475141757274</v>
      </c>
      <c r="X513">
        <v>0</v>
      </c>
    </row>
    <row r="514" spans="1:24">
      <c r="A514" t="s">
        <v>1581</v>
      </c>
      <c r="B514" t="s">
        <v>1582</v>
      </c>
      <c r="C514" t="s">
        <v>35</v>
      </c>
      <c r="D514">
        <v>2.759</v>
      </c>
      <c r="E514">
        <v>3963</v>
      </c>
      <c r="F514">
        <v>15</v>
      </c>
      <c r="G514" t="s">
        <v>47</v>
      </c>
      <c r="H514" t="s">
        <v>1583</v>
      </c>
      <c r="I514" t="s">
        <v>29</v>
      </c>
      <c r="J514" t="s">
        <v>31</v>
      </c>
      <c r="K514" t="s">
        <v>30</v>
      </c>
      <c r="L514" t="s">
        <v>30</v>
      </c>
      <c r="M514" t="s">
        <v>44</v>
      </c>
      <c r="N514">
        <v>18</v>
      </c>
      <c r="O514">
        <v>2</v>
      </c>
      <c r="P514">
        <v>0</v>
      </c>
      <c r="Q514">
        <v>1436.389996375498</v>
      </c>
      <c r="R514">
        <v>5.436752446538601</v>
      </c>
      <c r="S514">
        <v>264.2</v>
      </c>
      <c r="T514">
        <v>0</v>
      </c>
      <c r="U514">
        <v>0</v>
      </c>
      <c r="V514">
        <v>0</v>
      </c>
      <c r="W514">
        <v>8.285008895449879</v>
      </c>
      <c r="X514">
        <v>0</v>
      </c>
    </row>
    <row r="515" spans="1:24">
      <c r="A515" t="s">
        <v>1584</v>
      </c>
      <c r="B515" t="s">
        <v>1585</v>
      </c>
      <c r="C515" t="s">
        <v>26</v>
      </c>
      <c r="D515">
        <v>0.607</v>
      </c>
      <c r="E515">
        <v>705</v>
      </c>
      <c r="F515">
        <v>18</v>
      </c>
      <c r="G515" t="s">
        <v>36</v>
      </c>
      <c r="H515" t="s">
        <v>1586</v>
      </c>
      <c r="I515" t="s">
        <v>29</v>
      </c>
      <c r="J515" t="s">
        <v>38</v>
      </c>
      <c r="K515" t="s">
        <v>31</v>
      </c>
      <c r="L515" t="s">
        <v>30</v>
      </c>
      <c r="M515" t="s">
        <v>97</v>
      </c>
      <c r="N515">
        <v>18</v>
      </c>
      <c r="O515">
        <v>2</v>
      </c>
      <c r="P515">
        <v>0</v>
      </c>
      <c r="Q515">
        <v>1161.449752883031</v>
      </c>
      <c r="R515">
        <v>29.65403624382208</v>
      </c>
      <c r="S515">
        <v>39.16666666666666</v>
      </c>
      <c r="T515">
        <v>0</v>
      </c>
      <c r="U515">
        <v>0</v>
      </c>
      <c r="V515">
        <v>0</v>
      </c>
      <c r="W515">
        <v>6.559615237493242</v>
      </c>
      <c r="X515">
        <v>0</v>
      </c>
    </row>
    <row r="516" spans="1:24">
      <c r="A516" t="s">
        <v>1587</v>
      </c>
      <c r="B516" t="s">
        <v>1588</v>
      </c>
      <c r="C516" t="s">
        <v>52</v>
      </c>
      <c r="D516">
        <v>0.889</v>
      </c>
      <c r="E516">
        <v>751</v>
      </c>
      <c r="F516">
        <v>23</v>
      </c>
      <c r="G516" t="s">
        <v>36</v>
      </c>
      <c r="H516" t="s">
        <v>1589</v>
      </c>
      <c r="I516" t="s">
        <v>29</v>
      </c>
      <c r="J516" t="s">
        <v>38</v>
      </c>
      <c r="K516" t="s">
        <v>38</v>
      </c>
      <c r="L516" t="s">
        <v>31</v>
      </c>
      <c r="M516" t="s">
        <v>44</v>
      </c>
      <c r="N516">
        <v>18</v>
      </c>
      <c r="O516">
        <v>2</v>
      </c>
      <c r="P516">
        <v>0</v>
      </c>
      <c r="Q516">
        <v>844.7694038245219</v>
      </c>
      <c r="R516">
        <v>25.87176602924634</v>
      </c>
      <c r="S516">
        <v>32.65217391304348</v>
      </c>
      <c r="T516">
        <v>0</v>
      </c>
      <c r="U516">
        <v>0</v>
      </c>
      <c r="V516">
        <v>0</v>
      </c>
      <c r="W516">
        <v>6.62273632394984</v>
      </c>
      <c r="X516">
        <v>0</v>
      </c>
    </row>
    <row r="517" spans="1:24">
      <c r="A517" t="s">
        <v>1590</v>
      </c>
      <c r="B517" t="s">
        <v>1591</v>
      </c>
      <c r="C517" t="s">
        <v>26</v>
      </c>
      <c r="D517">
        <v>0.78</v>
      </c>
      <c r="E517">
        <v>4238</v>
      </c>
      <c r="F517">
        <v>16</v>
      </c>
      <c r="G517" t="s">
        <v>27</v>
      </c>
      <c r="H517" t="s">
        <v>1592</v>
      </c>
      <c r="I517" t="s">
        <v>29</v>
      </c>
      <c r="J517" t="s">
        <v>30</v>
      </c>
      <c r="K517" t="s">
        <v>31</v>
      </c>
      <c r="L517" t="s">
        <v>38</v>
      </c>
      <c r="M517" t="s">
        <v>97</v>
      </c>
      <c r="N517">
        <v>18</v>
      </c>
      <c r="O517">
        <v>2</v>
      </c>
      <c r="P517">
        <v>0</v>
      </c>
      <c r="Q517">
        <v>5433.333333333333</v>
      </c>
      <c r="R517">
        <v>20.51282051282051</v>
      </c>
      <c r="S517">
        <v>264.875</v>
      </c>
      <c r="T517">
        <v>0</v>
      </c>
      <c r="U517">
        <v>0</v>
      </c>
      <c r="V517">
        <v>0</v>
      </c>
      <c r="W517">
        <v>8.352082671352637</v>
      </c>
      <c r="X517">
        <v>0</v>
      </c>
    </row>
    <row r="518" spans="1:24">
      <c r="A518" t="s">
        <v>1593</v>
      </c>
      <c r="B518" t="s">
        <v>1594</v>
      </c>
      <c r="C518" t="s">
        <v>52</v>
      </c>
      <c r="D518">
        <v>3.327</v>
      </c>
      <c r="E518">
        <v>1948</v>
      </c>
      <c r="F518">
        <v>18</v>
      </c>
      <c r="G518" t="s">
        <v>36</v>
      </c>
      <c r="H518" t="s">
        <v>1595</v>
      </c>
      <c r="I518" t="s">
        <v>29</v>
      </c>
      <c r="J518" t="s">
        <v>38</v>
      </c>
      <c r="K518" t="s">
        <v>38</v>
      </c>
      <c r="L518" t="s">
        <v>31</v>
      </c>
      <c r="M518" t="s">
        <v>44</v>
      </c>
      <c r="N518">
        <v>19</v>
      </c>
      <c r="O518">
        <v>2</v>
      </c>
      <c r="P518">
        <v>0</v>
      </c>
      <c r="Q518">
        <v>585.5124737000301</v>
      </c>
      <c r="R518">
        <v>5.410279531109107</v>
      </c>
      <c r="S518">
        <v>108.2222222222222</v>
      </c>
      <c r="T518">
        <v>0</v>
      </c>
      <c r="U518">
        <v>0</v>
      </c>
      <c r="V518">
        <v>0</v>
      </c>
      <c r="W518">
        <v>7.575071699507561</v>
      </c>
      <c r="X518">
        <v>0</v>
      </c>
    </row>
    <row r="519" spans="1:24">
      <c r="A519" t="s">
        <v>1596</v>
      </c>
      <c r="B519" t="s">
        <v>1597</v>
      </c>
      <c r="C519" t="s">
        <v>52</v>
      </c>
      <c r="D519">
        <v>8.095000000000001</v>
      </c>
      <c r="E519">
        <v>2249</v>
      </c>
      <c r="F519">
        <v>16</v>
      </c>
      <c r="G519" t="s">
        <v>36</v>
      </c>
      <c r="H519" t="s">
        <v>1598</v>
      </c>
      <c r="I519" t="s">
        <v>29</v>
      </c>
      <c r="J519" t="s">
        <v>38</v>
      </c>
      <c r="K519" t="s">
        <v>31</v>
      </c>
      <c r="L519" t="s">
        <v>31</v>
      </c>
      <c r="M519" t="s">
        <v>97</v>
      </c>
      <c r="N519">
        <v>19</v>
      </c>
      <c r="O519">
        <v>2</v>
      </c>
      <c r="P519">
        <v>0</v>
      </c>
      <c r="Q519">
        <v>277.8258184064237</v>
      </c>
      <c r="R519">
        <v>1.976528721432983</v>
      </c>
      <c r="S519">
        <v>140.5625</v>
      </c>
      <c r="T519">
        <v>0</v>
      </c>
      <c r="U519">
        <v>0</v>
      </c>
      <c r="V519">
        <v>0</v>
      </c>
      <c r="W519">
        <v>7.718685495198466</v>
      </c>
      <c r="X519">
        <v>0</v>
      </c>
    </row>
    <row r="520" spans="1:24">
      <c r="A520" t="s">
        <v>1599</v>
      </c>
      <c r="B520" t="s">
        <v>1600</v>
      </c>
      <c r="C520" t="s">
        <v>26</v>
      </c>
      <c r="D520">
        <v>1.367</v>
      </c>
      <c r="E520">
        <v>1200</v>
      </c>
      <c r="F520">
        <v>12</v>
      </c>
      <c r="G520" t="s">
        <v>47</v>
      </c>
      <c r="H520" t="s">
        <v>1601</v>
      </c>
      <c r="I520" t="s">
        <v>29</v>
      </c>
      <c r="J520" t="s">
        <v>31</v>
      </c>
      <c r="K520" t="s">
        <v>38</v>
      </c>
      <c r="L520" t="s">
        <v>31</v>
      </c>
      <c r="M520" t="s">
        <v>44</v>
      </c>
      <c r="N520">
        <v>19</v>
      </c>
      <c r="O520">
        <v>2</v>
      </c>
      <c r="P520">
        <v>0</v>
      </c>
      <c r="Q520">
        <v>877.8346744696415</v>
      </c>
      <c r="R520">
        <v>8.778346744696416</v>
      </c>
      <c r="S520">
        <v>100</v>
      </c>
      <c r="T520">
        <v>0</v>
      </c>
      <c r="U520">
        <v>0</v>
      </c>
      <c r="V520">
        <v>0</v>
      </c>
      <c r="W520">
        <v>7.090909822079984</v>
      </c>
      <c r="X520">
        <v>0</v>
      </c>
    </row>
    <row r="521" spans="1:24">
      <c r="A521" t="s">
        <v>1602</v>
      </c>
      <c r="B521" t="s">
        <v>1603</v>
      </c>
      <c r="C521" t="s">
        <v>26</v>
      </c>
      <c r="D521">
        <v>3.316</v>
      </c>
      <c r="E521">
        <v>1728</v>
      </c>
      <c r="F521">
        <v>13</v>
      </c>
      <c r="G521" t="s">
        <v>62</v>
      </c>
      <c r="H521" t="s">
        <v>1604</v>
      </c>
      <c r="I521" t="s">
        <v>29</v>
      </c>
      <c r="J521" t="s">
        <v>30</v>
      </c>
      <c r="K521" t="s">
        <v>38</v>
      </c>
      <c r="L521" t="s">
        <v>31</v>
      </c>
      <c r="M521" t="s">
        <v>44</v>
      </c>
      <c r="N521">
        <v>19</v>
      </c>
      <c r="O521">
        <v>2</v>
      </c>
      <c r="P521">
        <v>0</v>
      </c>
      <c r="Q521">
        <v>521.1097708082027</v>
      </c>
      <c r="R521">
        <v>3.920386007237636</v>
      </c>
      <c r="S521">
        <v>132.9230769230769</v>
      </c>
      <c r="T521">
        <v>0</v>
      </c>
      <c r="U521">
        <v>0</v>
      </c>
      <c r="V521">
        <v>0</v>
      </c>
      <c r="W521">
        <v>7.455298485683291</v>
      </c>
      <c r="X521">
        <v>0</v>
      </c>
    </row>
    <row r="522" spans="1:24">
      <c r="A522" t="s">
        <v>1605</v>
      </c>
      <c r="B522" t="s">
        <v>1606</v>
      </c>
      <c r="C522" t="s">
        <v>35</v>
      </c>
      <c r="D522">
        <v>3.307</v>
      </c>
      <c r="E522">
        <v>784</v>
      </c>
      <c r="F522">
        <v>19</v>
      </c>
      <c r="G522" t="s">
        <v>47</v>
      </c>
      <c r="H522" t="s">
        <v>1607</v>
      </c>
      <c r="I522" t="s">
        <v>29</v>
      </c>
      <c r="J522" t="s">
        <v>31</v>
      </c>
      <c r="K522" t="s">
        <v>30</v>
      </c>
      <c r="L522" t="s">
        <v>30</v>
      </c>
      <c r="M522" t="s">
        <v>97</v>
      </c>
      <c r="N522">
        <v>19</v>
      </c>
      <c r="O522">
        <v>2</v>
      </c>
      <c r="P522">
        <v>0</v>
      </c>
      <c r="Q522">
        <v>237.0728757181736</v>
      </c>
      <c r="R522">
        <v>5.745388569700635</v>
      </c>
      <c r="S522">
        <v>41.26315789473684</v>
      </c>
      <c r="T522">
        <v>0</v>
      </c>
      <c r="U522">
        <v>0</v>
      </c>
      <c r="V522">
        <v>0</v>
      </c>
      <c r="W522">
        <v>6.665683717782408</v>
      </c>
      <c r="X522">
        <v>0</v>
      </c>
    </row>
    <row r="523" spans="1:24">
      <c r="A523" t="s">
        <v>1608</v>
      </c>
      <c r="B523" t="s">
        <v>1609</v>
      </c>
      <c r="C523" t="s">
        <v>52</v>
      </c>
      <c r="D523">
        <v>4.04</v>
      </c>
      <c r="E523">
        <v>5982</v>
      </c>
      <c r="F523">
        <v>25</v>
      </c>
      <c r="G523" t="s">
        <v>36</v>
      </c>
      <c r="H523" t="s">
        <v>1610</v>
      </c>
      <c r="I523" t="s">
        <v>29</v>
      </c>
      <c r="J523" t="s">
        <v>38</v>
      </c>
      <c r="K523" t="s">
        <v>30</v>
      </c>
      <c r="L523" t="s">
        <v>30</v>
      </c>
      <c r="M523" t="s">
        <v>97</v>
      </c>
      <c r="N523">
        <v>19</v>
      </c>
      <c r="O523">
        <v>2</v>
      </c>
      <c r="P523">
        <v>0</v>
      </c>
      <c r="Q523">
        <v>1480.693069306931</v>
      </c>
      <c r="R523">
        <v>6.188118811881188</v>
      </c>
      <c r="S523">
        <v>239.28</v>
      </c>
      <c r="T523">
        <v>0</v>
      </c>
      <c r="U523">
        <v>0</v>
      </c>
      <c r="V523">
        <v>0</v>
      </c>
      <c r="W523">
        <v>8.696677393390031</v>
      </c>
      <c r="X523">
        <v>0</v>
      </c>
    </row>
    <row r="524" spans="1:24">
      <c r="A524" t="s">
        <v>1611</v>
      </c>
      <c r="B524" t="s">
        <v>1612</v>
      </c>
      <c r="C524" t="s">
        <v>35</v>
      </c>
      <c r="D524">
        <v>3.79</v>
      </c>
      <c r="E524">
        <v>4557</v>
      </c>
      <c r="F524">
        <v>21</v>
      </c>
      <c r="G524" t="s">
        <v>27</v>
      </c>
      <c r="H524" t="s">
        <v>1613</v>
      </c>
      <c r="I524" t="s">
        <v>29</v>
      </c>
      <c r="J524" t="s">
        <v>30</v>
      </c>
      <c r="K524" t="s">
        <v>31</v>
      </c>
      <c r="L524" t="s">
        <v>31</v>
      </c>
      <c r="M524" t="s">
        <v>97</v>
      </c>
      <c r="N524">
        <v>19</v>
      </c>
      <c r="O524">
        <v>2</v>
      </c>
      <c r="P524">
        <v>0</v>
      </c>
      <c r="Q524">
        <v>1202.374670184696</v>
      </c>
      <c r="R524">
        <v>5.540897097625329</v>
      </c>
      <c r="S524">
        <v>217</v>
      </c>
      <c r="T524">
        <v>0</v>
      </c>
      <c r="U524">
        <v>0</v>
      </c>
      <c r="V524">
        <v>0</v>
      </c>
      <c r="W524">
        <v>8.42463920980563</v>
      </c>
      <c r="X524">
        <v>0</v>
      </c>
    </row>
    <row r="525" spans="1:24">
      <c r="A525" t="s">
        <v>1614</v>
      </c>
      <c r="B525" t="s">
        <v>1615</v>
      </c>
      <c r="C525" t="s">
        <v>35</v>
      </c>
      <c r="D525">
        <v>2.989</v>
      </c>
      <c r="E525">
        <v>5064</v>
      </c>
      <c r="F525">
        <v>27</v>
      </c>
      <c r="G525" t="s">
        <v>27</v>
      </c>
      <c r="H525" t="s">
        <v>1616</v>
      </c>
      <c r="I525" t="s">
        <v>29</v>
      </c>
      <c r="J525" t="s">
        <v>30</v>
      </c>
      <c r="K525" t="s">
        <v>30</v>
      </c>
      <c r="L525" t="s">
        <v>30</v>
      </c>
      <c r="M525" t="s">
        <v>44</v>
      </c>
      <c r="N525">
        <v>19</v>
      </c>
      <c r="O525">
        <v>2</v>
      </c>
      <c r="P525">
        <v>0</v>
      </c>
      <c r="Q525">
        <v>1694.212111073938</v>
      </c>
      <c r="R525">
        <v>9.033121445299432</v>
      </c>
      <c r="S525">
        <v>187.5555555555556</v>
      </c>
      <c r="T525">
        <v>0</v>
      </c>
      <c r="U525">
        <v>0</v>
      </c>
      <c r="V525">
        <v>0</v>
      </c>
      <c r="W525">
        <v>8.530109416682784</v>
      </c>
      <c r="X525">
        <v>0</v>
      </c>
    </row>
    <row r="526" spans="1:24">
      <c r="A526" t="s">
        <v>1617</v>
      </c>
      <c r="B526" t="s">
        <v>1618</v>
      </c>
      <c r="C526" t="s">
        <v>35</v>
      </c>
      <c r="D526">
        <v>7.773</v>
      </c>
      <c r="E526">
        <v>15332</v>
      </c>
      <c r="F526">
        <v>96</v>
      </c>
      <c r="G526" t="s">
        <v>27</v>
      </c>
      <c r="H526" t="s">
        <v>1619</v>
      </c>
      <c r="I526" t="s">
        <v>49</v>
      </c>
      <c r="J526" t="s">
        <v>30</v>
      </c>
      <c r="K526" t="s">
        <v>31</v>
      </c>
      <c r="L526" t="s">
        <v>30</v>
      </c>
      <c r="M526" t="s">
        <v>44</v>
      </c>
      <c r="N526">
        <v>19</v>
      </c>
      <c r="O526">
        <v>2</v>
      </c>
      <c r="P526">
        <v>0</v>
      </c>
      <c r="Q526">
        <v>1972.468802264248</v>
      </c>
      <c r="R526">
        <v>12.35044384407565</v>
      </c>
      <c r="S526">
        <v>159.7083333333333</v>
      </c>
      <c r="T526">
        <v>0</v>
      </c>
      <c r="U526">
        <v>0</v>
      </c>
      <c r="V526">
        <v>1</v>
      </c>
      <c r="W526">
        <v>9.637762647436389</v>
      </c>
      <c r="X526">
        <v>1</v>
      </c>
    </row>
    <row r="527" spans="1:24">
      <c r="A527" t="s">
        <v>1620</v>
      </c>
      <c r="B527" t="s">
        <v>1621</v>
      </c>
      <c r="C527" t="s">
        <v>35</v>
      </c>
      <c r="D527">
        <v>3.33</v>
      </c>
      <c r="E527">
        <v>2901</v>
      </c>
      <c r="F527">
        <v>20</v>
      </c>
      <c r="G527" t="s">
        <v>27</v>
      </c>
      <c r="H527" t="s">
        <v>1622</v>
      </c>
      <c r="I527" t="s">
        <v>29</v>
      </c>
      <c r="J527" t="s">
        <v>30</v>
      </c>
      <c r="K527" t="s">
        <v>30</v>
      </c>
      <c r="L527" t="s">
        <v>30</v>
      </c>
      <c r="M527" t="s">
        <v>44</v>
      </c>
      <c r="N527">
        <v>19</v>
      </c>
      <c r="O527">
        <v>2</v>
      </c>
      <c r="P527">
        <v>0</v>
      </c>
      <c r="Q527">
        <v>871.1711711711712</v>
      </c>
      <c r="R527">
        <v>6.006006006006006</v>
      </c>
      <c r="S527">
        <v>145.05</v>
      </c>
      <c r="T527">
        <v>0</v>
      </c>
      <c r="U527">
        <v>0</v>
      </c>
      <c r="V527">
        <v>0</v>
      </c>
      <c r="W527">
        <v>7.973155433444133</v>
      </c>
      <c r="X527">
        <v>0</v>
      </c>
    </row>
    <row r="528" spans="1:24">
      <c r="A528" t="s">
        <v>1623</v>
      </c>
      <c r="B528" t="s">
        <v>1624</v>
      </c>
      <c r="C528" t="s">
        <v>35</v>
      </c>
      <c r="D528">
        <v>0.799</v>
      </c>
      <c r="E528">
        <v>24683</v>
      </c>
      <c r="F528">
        <v>69</v>
      </c>
      <c r="G528" t="s">
        <v>27</v>
      </c>
      <c r="H528" t="s">
        <v>1625</v>
      </c>
      <c r="I528" t="s">
        <v>49</v>
      </c>
      <c r="J528" t="s">
        <v>30</v>
      </c>
      <c r="K528" t="s">
        <v>38</v>
      </c>
      <c r="L528" t="s">
        <v>31</v>
      </c>
      <c r="M528" t="s">
        <v>44</v>
      </c>
      <c r="N528">
        <v>19</v>
      </c>
      <c r="O528">
        <v>2</v>
      </c>
      <c r="P528">
        <v>0</v>
      </c>
      <c r="Q528">
        <v>30892.36545682102</v>
      </c>
      <c r="R528">
        <v>86.35794743429287</v>
      </c>
      <c r="S528">
        <v>357.7246376811594</v>
      </c>
      <c r="T528">
        <v>0</v>
      </c>
      <c r="U528">
        <v>0</v>
      </c>
      <c r="V528">
        <v>1</v>
      </c>
      <c r="W528">
        <v>10.11391053944096</v>
      </c>
      <c r="X528">
        <v>1</v>
      </c>
    </row>
    <row r="529" spans="1:24">
      <c r="A529" t="s">
        <v>1626</v>
      </c>
      <c r="B529" t="s">
        <v>1627</v>
      </c>
      <c r="C529" t="s">
        <v>26</v>
      </c>
      <c r="D529">
        <v>1.387</v>
      </c>
      <c r="E529">
        <v>3532</v>
      </c>
      <c r="F529">
        <v>17</v>
      </c>
      <c r="G529" t="s">
        <v>27</v>
      </c>
      <c r="H529" t="s">
        <v>1628</v>
      </c>
      <c r="I529" t="s">
        <v>29</v>
      </c>
      <c r="J529" t="s">
        <v>30</v>
      </c>
      <c r="K529" t="s">
        <v>31</v>
      </c>
      <c r="L529" t="s">
        <v>30</v>
      </c>
      <c r="M529" t="s">
        <v>76</v>
      </c>
      <c r="N529">
        <v>19</v>
      </c>
      <c r="O529">
        <v>2</v>
      </c>
      <c r="P529">
        <v>0</v>
      </c>
      <c r="Q529">
        <v>2546.503244412401</v>
      </c>
      <c r="R529">
        <v>12.25666906993511</v>
      </c>
      <c r="S529">
        <v>207.7647058823529</v>
      </c>
      <c r="T529">
        <v>0</v>
      </c>
      <c r="U529">
        <v>0</v>
      </c>
      <c r="V529">
        <v>0</v>
      </c>
      <c r="W529">
        <v>8.169902647359145</v>
      </c>
      <c r="X529">
        <v>0</v>
      </c>
    </row>
    <row r="530" spans="1:24">
      <c r="A530" t="s">
        <v>1629</v>
      </c>
      <c r="B530" t="s">
        <v>1630</v>
      </c>
      <c r="C530" t="s">
        <v>35</v>
      </c>
      <c r="D530">
        <v>1.812</v>
      </c>
      <c r="E530">
        <v>3263</v>
      </c>
      <c r="F530">
        <v>26</v>
      </c>
      <c r="G530" t="s">
        <v>62</v>
      </c>
      <c r="H530" t="s">
        <v>1631</v>
      </c>
      <c r="I530" t="s">
        <v>29</v>
      </c>
      <c r="J530" t="s">
        <v>30</v>
      </c>
      <c r="K530" t="s">
        <v>30</v>
      </c>
      <c r="L530" t="s">
        <v>30</v>
      </c>
      <c r="M530" t="s">
        <v>39</v>
      </c>
      <c r="N530">
        <v>20</v>
      </c>
      <c r="O530">
        <v>2</v>
      </c>
      <c r="P530">
        <v>0</v>
      </c>
      <c r="Q530">
        <v>1800.772626931567</v>
      </c>
      <c r="R530">
        <v>14.34878587196468</v>
      </c>
      <c r="S530">
        <v>125.5</v>
      </c>
      <c r="T530">
        <v>0</v>
      </c>
      <c r="U530">
        <v>0</v>
      </c>
      <c r="V530">
        <v>0</v>
      </c>
      <c r="W530">
        <v>8.090708716083997</v>
      </c>
      <c r="X530">
        <v>0</v>
      </c>
    </row>
    <row r="531" spans="1:24">
      <c r="A531" t="s">
        <v>1632</v>
      </c>
      <c r="B531" t="s">
        <v>1633</v>
      </c>
      <c r="C531" t="s">
        <v>26</v>
      </c>
      <c r="D531">
        <v>4.994</v>
      </c>
      <c r="E531">
        <v>5231</v>
      </c>
      <c r="F531">
        <v>22</v>
      </c>
      <c r="G531" t="s">
        <v>27</v>
      </c>
      <c r="H531" t="s">
        <v>1634</v>
      </c>
      <c r="I531" t="s">
        <v>29</v>
      </c>
      <c r="J531" t="s">
        <v>30</v>
      </c>
      <c r="K531" t="s">
        <v>31</v>
      </c>
      <c r="L531" t="s">
        <v>30</v>
      </c>
      <c r="M531" t="s">
        <v>97</v>
      </c>
      <c r="N531">
        <v>20</v>
      </c>
      <c r="O531">
        <v>2</v>
      </c>
      <c r="P531">
        <v>0</v>
      </c>
      <c r="Q531">
        <v>1047.456948338006</v>
      </c>
      <c r="R531">
        <v>4.405286343612335</v>
      </c>
      <c r="S531">
        <v>237.7727272727273</v>
      </c>
      <c r="T531">
        <v>0</v>
      </c>
      <c r="U531">
        <v>0</v>
      </c>
      <c r="V531">
        <v>0</v>
      </c>
      <c r="W531">
        <v>8.562548893137034</v>
      </c>
      <c r="X531">
        <v>0</v>
      </c>
    </row>
    <row r="532" spans="1:24">
      <c r="A532" t="s">
        <v>1635</v>
      </c>
      <c r="B532" t="s">
        <v>1636</v>
      </c>
      <c r="C532" t="s">
        <v>26</v>
      </c>
      <c r="D532">
        <v>3.345</v>
      </c>
      <c r="E532">
        <v>3544</v>
      </c>
      <c r="F532">
        <v>25</v>
      </c>
      <c r="G532" t="s">
        <v>47</v>
      </c>
      <c r="H532" t="s">
        <v>1637</v>
      </c>
      <c r="I532" t="s">
        <v>29</v>
      </c>
      <c r="J532" t="s">
        <v>31</v>
      </c>
      <c r="K532" t="s">
        <v>30</v>
      </c>
      <c r="L532" t="s">
        <v>30</v>
      </c>
      <c r="M532" t="s">
        <v>44</v>
      </c>
      <c r="N532">
        <v>20</v>
      </c>
      <c r="O532">
        <v>2</v>
      </c>
      <c r="P532">
        <v>0</v>
      </c>
      <c r="Q532">
        <v>1059.49177877429</v>
      </c>
      <c r="R532">
        <v>7.473841554559043</v>
      </c>
      <c r="S532">
        <v>141.76</v>
      </c>
      <c r="T532">
        <v>0</v>
      </c>
      <c r="U532">
        <v>0</v>
      </c>
      <c r="V532">
        <v>0</v>
      </c>
      <c r="W532">
        <v>8.173293438966228</v>
      </c>
      <c r="X532">
        <v>0</v>
      </c>
    </row>
    <row r="533" spans="1:24">
      <c r="A533" t="s">
        <v>1638</v>
      </c>
      <c r="B533" t="s">
        <v>1639</v>
      </c>
      <c r="C533" t="s">
        <v>35</v>
      </c>
      <c r="D533">
        <v>5.256</v>
      </c>
      <c r="E533">
        <v>1065</v>
      </c>
      <c r="F533">
        <v>15</v>
      </c>
      <c r="G533" t="s">
        <v>62</v>
      </c>
      <c r="H533" t="s">
        <v>1640</v>
      </c>
      <c r="I533" t="s">
        <v>29</v>
      </c>
      <c r="J533" t="s">
        <v>30</v>
      </c>
      <c r="K533" t="s">
        <v>30</v>
      </c>
      <c r="L533" t="s">
        <v>30</v>
      </c>
      <c r="M533" t="s">
        <v>44</v>
      </c>
      <c r="N533">
        <v>20</v>
      </c>
      <c r="O533">
        <v>2</v>
      </c>
      <c r="P533">
        <v>0</v>
      </c>
      <c r="Q533">
        <v>202.6255707762557</v>
      </c>
      <c r="R533">
        <v>2.853881278538813</v>
      </c>
      <c r="S533">
        <v>71</v>
      </c>
      <c r="T533">
        <v>0</v>
      </c>
      <c r="U533">
        <v>0</v>
      </c>
      <c r="V533">
        <v>0</v>
      </c>
      <c r="W533">
        <v>6.97166860472579</v>
      </c>
      <c r="X533">
        <v>0</v>
      </c>
    </row>
    <row r="534" spans="1:24">
      <c r="A534" t="s">
        <v>1641</v>
      </c>
      <c r="B534" t="s">
        <v>1642</v>
      </c>
      <c r="C534" t="s">
        <v>35</v>
      </c>
      <c r="D534">
        <v>7.762</v>
      </c>
      <c r="E534">
        <v>4703</v>
      </c>
      <c r="F534">
        <v>22</v>
      </c>
      <c r="G534" t="s">
        <v>62</v>
      </c>
      <c r="H534" t="s">
        <v>1643</v>
      </c>
      <c r="I534" t="s">
        <v>29</v>
      </c>
      <c r="J534" t="s">
        <v>30</v>
      </c>
      <c r="K534" t="s">
        <v>31</v>
      </c>
      <c r="L534" t="s">
        <v>31</v>
      </c>
      <c r="M534" t="s">
        <v>76</v>
      </c>
      <c r="N534">
        <v>20</v>
      </c>
      <c r="O534">
        <v>2</v>
      </c>
      <c r="P534">
        <v>0</v>
      </c>
      <c r="Q534">
        <v>605.9005410976553</v>
      </c>
      <c r="R534">
        <v>2.834321051275444</v>
      </c>
      <c r="S534">
        <v>213.7727272727273</v>
      </c>
      <c r="T534">
        <v>0</v>
      </c>
      <c r="U534">
        <v>0</v>
      </c>
      <c r="V534">
        <v>0</v>
      </c>
      <c r="W534">
        <v>8.456168489578463</v>
      </c>
      <c r="X534">
        <v>0</v>
      </c>
    </row>
    <row r="535" spans="1:24">
      <c r="A535" t="s">
        <v>1644</v>
      </c>
      <c r="B535" t="s">
        <v>1645</v>
      </c>
      <c r="C535" t="s">
        <v>26</v>
      </c>
      <c r="D535">
        <v>0.505</v>
      </c>
      <c r="E535">
        <v>2672</v>
      </c>
      <c r="F535">
        <v>17</v>
      </c>
      <c r="G535" t="s">
        <v>27</v>
      </c>
      <c r="H535" t="s">
        <v>1646</v>
      </c>
      <c r="I535" t="s">
        <v>29</v>
      </c>
      <c r="J535" t="s">
        <v>30</v>
      </c>
      <c r="K535" t="s">
        <v>30</v>
      </c>
      <c r="L535" t="s">
        <v>30</v>
      </c>
      <c r="M535" t="s">
        <v>39</v>
      </c>
      <c r="N535">
        <v>20</v>
      </c>
      <c r="O535">
        <v>2</v>
      </c>
      <c r="P535">
        <v>0</v>
      </c>
      <c r="Q535">
        <v>5291.089108910891</v>
      </c>
      <c r="R535">
        <v>33.66336633663366</v>
      </c>
      <c r="S535">
        <v>157.1764705882353</v>
      </c>
      <c r="T535">
        <v>0</v>
      </c>
      <c r="U535">
        <v>0</v>
      </c>
      <c r="V535">
        <v>0</v>
      </c>
      <c r="W535">
        <v>7.890956716138919</v>
      </c>
      <c r="X535">
        <v>0</v>
      </c>
    </row>
    <row r="536" spans="1:24">
      <c r="A536" t="s">
        <v>1647</v>
      </c>
      <c r="B536" t="s">
        <v>1648</v>
      </c>
      <c r="C536" t="s">
        <v>26</v>
      </c>
      <c r="D536">
        <v>2.368</v>
      </c>
      <c r="E536">
        <v>1999</v>
      </c>
      <c r="F536">
        <v>17</v>
      </c>
      <c r="G536" t="s">
        <v>27</v>
      </c>
      <c r="H536" t="s">
        <v>1649</v>
      </c>
      <c r="I536" t="s">
        <v>29</v>
      </c>
      <c r="J536" t="s">
        <v>30</v>
      </c>
      <c r="K536" t="s">
        <v>30</v>
      </c>
      <c r="L536" t="s">
        <v>30</v>
      </c>
      <c r="M536" t="s">
        <v>76</v>
      </c>
      <c r="N536">
        <v>20</v>
      </c>
      <c r="O536">
        <v>2</v>
      </c>
      <c r="P536">
        <v>0</v>
      </c>
      <c r="Q536">
        <v>844.1722972972973</v>
      </c>
      <c r="R536">
        <v>7.179054054054054</v>
      </c>
      <c r="S536">
        <v>117.5882352941176</v>
      </c>
      <c r="T536">
        <v>0</v>
      </c>
      <c r="U536">
        <v>0</v>
      </c>
      <c r="V536">
        <v>0</v>
      </c>
      <c r="W536">
        <v>7.600902459542082</v>
      </c>
      <c r="X536">
        <v>0</v>
      </c>
    </row>
    <row r="537" spans="1:24">
      <c r="A537" t="s">
        <v>1650</v>
      </c>
      <c r="B537" t="s">
        <v>1651</v>
      </c>
      <c r="C537" t="s">
        <v>35</v>
      </c>
      <c r="D537">
        <v>0.84</v>
      </c>
      <c r="E537">
        <v>8762</v>
      </c>
      <c r="F537">
        <v>19</v>
      </c>
      <c r="G537" t="s">
        <v>62</v>
      </c>
      <c r="H537" t="s">
        <v>1652</v>
      </c>
      <c r="I537" t="s">
        <v>29</v>
      </c>
      <c r="J537" t="s">
        <v>30</v>
      </c>
      <c r="K537" t="s">
        <v>31</v>
      </c>
      <c r="L537" t="s">
        <v>31</v>
      </c>
      <c r="M537" t="s">
        <v>44</v>
      </c>
      <c r="N537">
        <v>20</v>
      </c>
      <c r="O537">
        <v>2</v>
      </c>
      <c r="P537">
        <v>0</v>
      </c>
      <c r="Q537">
        <v>10430.95238095238</v>
      </c>
      <c r="R537">
        <v>22.61904761904762</v>
      </c>
      <c r="S537">
        <v>461.1578947368421</v>
      </c>
      <c r="T537">
        <v>0</v>
      </c>
      <c r="U537">
        <v>0</v>
      </c>
      <c r="V537">
        <v>0</v>
      </c>
      <c r="W537">
        <v>9.07829359105585</v>
      </c>
      <c r="X537">
        <v>0</v>
      </c>
    </row>
    <row r="538" spans="1:24">
      <c r="A538" t="s">
        <v>1653</v>
      </c>
      <c r="B538" t="s">
        <v>1654</v>
      </c>
      <c r="C538" t="s">
        <v>35</v>
      </c>
      <c r="D538">
        <v>4.576</v>
      </c>
      <c r="E538">
        <v>1710</v>
      </c>
      <c r="F538">
        <v>19</v>
      </c>
      <c r="G538" t="s">
        <v>36</v>
      </c>
      <c r="H538" t="s">
        <v>1655</v>
      </c>
      <c r="I538" t="s">
        <v>29</v>
      </c>
      <c r="J538" t="s">
        <v>38</v>
      </c>
      <c r="K538" t="s">
        <v>30</v>
      </c>
      <c r="L538" t="s">
        <v>30</v>
      </c>
      <c r="M538" t="s">
        <v>39</v>
      </c>
      <c r="N538">
        <v>20</v>
      </c>
      <c r="O538">
        <v>2</v>
      </c>
      <c r="P538">
        <v>0</v>
      </c>
      <c r="Q538">
        <v>373.6888111888112</v>
      </c>
      <c r="R538">
        <v>4.152097902097903</v>
      </c>
      <c r="S538">
        <v>90</v>
      </c>
      <c r="T538">
        <v>0</v>
      </c>
      <c r="U538">
        <v>0</v>
      </c>
      <c r="V538">
        <v>0</v>
      </c>
      <c r="W538">
        <v>7.444833273892193</v>
      </c>
      <c r="X538">
        <v>0</v>
      </c>
    </row>
    <row r="539" spans="1:24">
      <c r="A539" t="s">
        <v>1656</v>
      </c>
      <c r="B539" t="s">
        <v>1657</v>
      </c>
      <c r="C539" t="s">
        <v>52</v>
      </c>
      <c r="D539">
        <v>1.857</v>
      </c>
      <c r="E539">
        <v>20358</v>
      </c>
      <c r="F539">
        <v>163</v>
      </c>
      <c r="G539" t="s">
        <v>62</v>
      </c>
      <c r="H539" t="s">
        <v>1658</v>
      </c>
      <c r="I539" t="s">
        <v>49</v>
      </c>
      <c r="J539" t="s">
        <v>30</v>
      </c>
      <c r="K539" t="s">
        <v>30</v>
      </c>
      <c r="L539" t="s">
        <v>30</v>
      </c>
      <c r="M539" t="s">
        <v>76</v>
      </c>
      <c r="N539">
        <v>20</v>
      </c>
      <c r="O539">
        <v>2</v>
      </c>
      <c r="P539">
        <v>0</v>
      </c>
      <c r="Q539">
        <v>10962.84329563813</v>
      </c>
      <c r="R539">
        <v>87.77598276790522</v>
      </c>
      <c r="S539">
        <v>124.8957055214724</v>
      </c>
      <c r="T539">
        <v>0</v>
      </c>
      <c r="U539">
        <v>0</v>
      </c>
      <c r="V539">
        <v>1</v>
      </c>
      <c r="W539">
        <v>9.921278353544675</v>
      </c>
      <c r="X539">
        <v>1</v>
      </c>
    </row>
    <row r="540" spans="1:24">
      <c r="A540" t="s">
        <v>1659</v>
      </c>
      <c r="B540" t="s">
        <v>1660</v>
      </c>
      <c r="C540" t="s">
        <v>26</v>
      </c>
      <c r="D540">
        <v>5.777</v>
      </c>
      <c r="E540">
        <v>1758</v>
      </c>
      <c r="F540">
        <v>23</v>
      </c>
      <c r="G540" t="s">
        <v>47</v>
      </c>
      <c r="H540" t="s">
        <v>1661</v>
      </c>
      <c r="I540" t="s">
        <v>29</v>
      </c>
      <c r="J540" t="s">
        <v>31</v>
      </c>
      <c r="K540" t="s">
        <v>30</v>
      </c>
      <c r="L540" t="s">
        <v>30</v>
      </c>
      <c r="M540" t="s">
        <v>44</v>
      </c>
      <c r="N540">
        <v>20</v>
      </c>
      <c r="O540">
        <v>2</v>
      </c>
      <c r="P540">
        <v>0</v>
      </c>
      <c r="Q540">
        <v>304.3101956032543</v>
      </c>
      <c r="R540">
        <v>3.981305175696728</v>
      </c>
      <c r="S540">
        <v>76.43478260869566</v>
      </c>
      <c r="T540">
        <v>0</v>
      </c>
      <c r="U540">
        <v>0</v>
      </c>
      <c r="V540">
        <v>0</v>
      </c>
      <c r="W540">
        <v>7.472500744737558</v>
      </c>
      <c r="X540">
        <v>0</v>
      </c>
    </row>
    <row r="541" spans="1:24">
      <c r="A541" t="s">
        <v>1662</v>
      </c>
      <c r="B541" t="s">
        <v>1663</v>
      </c>
      <c r="C541" t="s">
        <v>52</v>
      </c>
      <c r="D541">
        <v>4.073</v>
      </c>
      <c r="E541">
        <v>1153</v>
      </c>
      <c r="F541">
        <v>14</v>
      </c>
      <c r="G541" t="s">
        <v>27</v>
      </c>
      <c r="H541" t="s">
        <v>1664</v>
      </c>
      <c r="I541" t="s">
        <v>29</v>
      </c>
      <c r="J541" t="s">
        <v>30</v>
      </c>
      <c r="K541" t="s">
        <v>30</v>
      </c>
      <c r="L541" t="s">
        <v>38</v>
      </c>
      <c r="M541" t="s">
        <v>97</v>
      </c>
      <c r="N541">
        <v>20</v>
      </c>
      <c r="O541">
        <v>2</v>
      </c>
      <c r="P541">
        <v>0</v>
      </c>
      <c r="Q541">
        <v>283.0837220721826</v>
      </c>
      <c r="R541">
        <v>3.437269825681315</v>
      </c>
      <c r="S541">
        <v>82.35714285714286</v>
      </c>
      <c r="T541">
        <v>0</v>
      </c>
      <c r="U541">
        <v>0</v>
      </c>
      <c r="V541">
        <v>0</v>
      </c>
      <c r="W541">
        <v>7.050989447068045</v>
      </c>
      <c r="X541">
        <v>0</v>
      </c>
    </row>
    <row r="542" spans="1:24">
      <c r="A542" t="s">
        <v>1665</v>
      </c>
      <c r="B542" t="s">
        <v>1666</v>
      </c>
      <c r="C542" t="s">
        <v>35</v>
      </c>
      <c r="D542">
        <v>0.398</v>
      </c>
      <c r="E542">
        <v>6979</v>
      </c>
      <c r="F542">
        <v>16</v>
      </c>
      <c r="G542" t="s">
        <v>36</v>
      </c>
      <c r="H542" t="s">
        <v>1667</v>
      </c>
      <c r="I542" t="s">
        <v>29</v>
      </c>
      <c r="J542" t="s">
        <v>38</v>
      </c>
      <c r="K542" t="s">
        <v>30</v>
      </c>
      <c r="L542" t="s">
        <v>31</v>
      </c>
      <c r="M542" t="s">
        <v>44</v>
      </c>
      <c r="N542">
        <v>21</v>
      </c>
      <c r="O542">
        <v>2</v>
      </c>
      <c r="P542">
        <v>0</v>
      </c>
      <c r="Q542">
        <v>17535.17587939699</v>
      </c>
      <c r="R542">
        <v>40.20100502512562</v>
      </c>
      <c r="S542">
        <v>436.1875</v>
      </c>
      <c r="T542">
        <v>0</v>
      </c>
      <c r="U542">
        <v>0</v>
      </c>
      <c r="V542">
        <v>0</v>
      </c>
      <c r="W542">
        <v>8.850804195756417</v>
      </c>
      <c r="X542">
        <v>0</v>
      </c>
    </row>
    <row r="543" spans="1:24">
      <c r="A543" t="s">
        <v>1668</v>
      </c>
      <c r="B543" t="s">
        <v>1669</v>
      </c>
      <c r="C543" t="s">
        <v>35</v>
      </c>
      <c r="D543">
        <v>1.892</v>
      </c>
      <c r="E543">
        <v>10613</v>
      </c>
      <c r="F543">
        <v>16</v>
      </c>
      <c r="G543" t="s">
        <v>36</v>
      </c>
      <c r="H543" t="s">
        <v>1670</v>
      </c>
      <c r="I543" t="s">
        <v>29</v>
      </c>
      <c r="J543" t="s">
        <v>38</v>
      </c>
      <c r="K543" t="s">
        <v>31</v>
      </c>
      <c r="L543" t="s">
        <v>30</v>
      </c>
      <c r="M543" t="s">
        <v>44</v>
      </c>
      <c r="N543">
        <v>21</v>
      </c>
      <c r="O543">
        <v>2</v>
      </c>
      <c r="P543">
        <v>0</v>
      </c>
      <c r="Q543">
        <v>5609.408033826639</v>
      </c>
      <c r="R543">
        <v>8.456659619450317</v>
      </c>
      <c r="S543">
        <v>663.3125</v>
      </c>
      <c r="T543">
        <v>0</v>
      </c>
      <c r="U543">
        <v>0</v>
      </c>
      <c r="V543">
        <v>1</v>
      </c>
      <c r="W543">
        <v>9.26992916338784</v>
      </c>
      <c r="X543">
        <v>0</v>
      </c>
    </row>
    <row r="544" spans="1:24">
      <c r="A544" t="s">
        <v>1671</v>
      </c>
      <c r="B544" t="s">
        <v>1672</v>
      </c>
      <c r="C544" t="s">
        <v>26</v>
      </c>
      <c r="D544">
        <v>0.833</v>
      </c>
      <c r="E544">
        <v>49679</v>
      </c>
      <c r="F544">
        <v>27</v>
      </c>
      <c r="G544" t="s">
        <v>27</v>
      </c>
      <c r="H544" t="s">
        <v>1673</v>
      </c>
      <c r="I544" t="s">
        <v>29</v>
      </c>
      <c r="J544" t="s">
        <v>30</v>
      </c>
      <c r="K544" t="s">
        <v>31</v>
      </c>
      <c r="L544" t="s">
        <v>31</v>
      </c>
      <c r="M544" t="s">
        <v>32</v>
      </c>
      <c r="N544">
        <v>21</v>
      </c>
      <c r="O544">
        <v>2</v>
      </c>
      <c r="P544">
        <v>0</v>
      </c>
      <c r="Q544">
        <v>59638.65546218488</v>
      </c>
      <c r="R544">
        <v>32.41296518607443</v>
      </c>
      <c r="S544">
        <v>1839.962962962963</v>
      </c>
      <c r="T544">
        <v>0</v>
      </c>
      <c r="U544">
        <v>0</v>
      </c>
      <c r="V544">
        <v>1</v>
      </c>
      <c r="W544">
        <v>10.81335771660736</v>
      </c>
      <c r="X544">
        <v>0</v>
      </c>
    </row>
    <row r="545" spans="1:24">
      <c r="A545" t="s">
        <v>1674</v>
      </c>
      <c r="B545" t="s">
        <v>1675</v>
      </c>
      <c r="C545" t="s">
        <v>26</v>
      </c>
      <c r="D545">
        <v>6.401</v>
      </c>
      <c r="E545">
        <v>33859</v>
      </c>
      <c r="F545">
        <v>111</v>
      </c>
      <c r="G545" t="s">
        <v>27</v>
      </c>
      <c r="H545" t="s">
        <v>1676</v>
      </c>
      <c r="I545" t="s">
        <v>49</v>
      </c>
      <c r="J545" t="s">
        <v>30</v>
      </c>
      <c r="K545" t="s">
        <v>31</v>
      </c>
      <c r="L545" t="s">
        <v>30</v>
      </c>
      <c r="M545" t="s">
        <v>39</v>
      </c>
      <c r="N545">
        <v>21</v>
      </c>
      <c r="O545">
        <v>2</v>
      </c>
      <c r="P545">
        <v>0</v>
      </c>
      <c r="Q545">
        <v>5289.642243399469</v>
      </c>
      <c r="R545">
        <v>17.34104046242775</v>
      </c>
      <c r="S545">
        <v>305.036036036036</v>
      </c>
      <c r="T545">
        <v>0</v>
      </c>
      <c r="U545">
        <v>0</v>
      </c>
      <c r="V545">
        <v>1</v>
      </c>
      <c r="W545">
        <v>10.42998965568713</v>
      </c>
      <c r="X545">
        <v>1</v>
      </c>
    </row>
    <row r="546" spans="1:24">
      <c r="A546" t="s">
        <v>1677</v>
      </c>
      <c r="B546" t="s">
        <v>1678</v>
      </c>
      <c r="C546" t="s">
        <v>35</v>
      </c>
      <c r="D546">
        <v>10.662</v>
      </c>
      <c r="E546">
        <v>2370</v>
      </c>
      <c r="F546">
        <v>21</v>
      </c>
      <c r="G546" t="s">
        <v>27</v>
      </c>
      <c r="H546" t="s">
        <v>1679</v>
      </c>
      <c r="I546" t="s">
        <v>29</v>
      </c>
      <c r="J546" t="s">
        <v>30</v>
      </c>
      <c r="K546" t="s">
        <v>31</v>
      </c>
      <c r="L546" t="s">
        <v>30</v>
      </c>
      <c r="M546" t="s">
        <v>97</v>
      </c>
      <c r="N546">
        <v>21</v>
      </c>
      <c r="O546">
        <v>2</v>
      </c>
      <c r="P546">
        <v>0</v>
      </c>
      <c r="Q546">
        <v>222.2847495779403</v>
      </c>
      <c r="R546">
        <v>1.96961170512099</v>
      </c>
      <c r="S546">
        <v>112.8571428571429</v>
      </c>
      <c r="T546">
        <v>0</v>
      </c>
      <c r="U546">
        <v>0</v>
      </c>
      <c r="V546">
        <v>0</v>
      </c>
      <c r="W546">
        <v>7.771067086065406</v>
      </c>
      <c r="X546">
        <v>0</v>
      </c>
    </row>
    <row r="547" spans="1:24">
      <c r="A547" t="s">
        <v>1680</v>
      </c>
      <c r="B547" t="s">
        <v>1681</v>
      </c>
      <c r="C547" t="s">
        <v>35</v>
      </c>
      <c r="D547">
        <v>1.98</v>
      </c>
      <c r="E547">
        <v>857</v>
      </c>
      <c r="F547">
        <v>28</v>
      </c>
      <c r="G547" t="s">
        <v>62</v>
      </c>
      <c r="H547" t="s">
        <v>1682</v>
      </c>
      <c r="I547" t="s">
        <v>29</v>
      </c>
      <c r="J547" t="s">
        <v>30</v>
      </c>
      <c r="K547" t="s">
        <v>30</v>
      </c>
      <c r="L547" t="s">
        <v>30</v>
      </c>
      <c r="M547" t="s">
        <v>97</v>
      </c>
      <c r="N547">
        <v>21</v>
      </c>
      <c r="O547">
        <v>2</v>
      </c>
      <c r="P547">
        <v>0</v>
      </c>
      <c r="Q547">
        <v>432.8282828282829</v>
      </c>
      <c r="R547">
        <v>14.14141414141414</v>
      </c>
      <c r="S547">
        <v>30.60714285714286</v>
      </c>
      <c r="T547">
        <v>0</v>
      </c>
      <c r="U547">
        <v>0</v>
      </c>
      <c r="V547">
        <v>0</v>
      </c>
      <c r="W547">
        <v>6.754604099487962</v>
      </c>
      <c r="X547">
        <v>0</v>
      </c>
    </row>
    <row r="548" spans="1:24">
      <c r="A548" t="s">
        <v>1683</v>
      </c>
      <c r="B548" t="s">
        <v>1684</v>
      </c>
      <c r="C548" t="s">
        <v>26</v>
      </c>
      <c r="D548">
        <v>1.552</v>
      </c>
      <c r="E548">
        <v>19525</v>
      </c>
      <c r="F548">
        <v>19</v>
      </c>
      <c r="G548" t="s">
        <v>62</v>
      </c>
      <c r="H548" t="s">
        <v>1685</v>
      </c>
      <c r="I548" t="s">
        <v>43</v>
      </c>
      <c r="J548" t="s">
        <v>30</v>
      </c>
      <c r="K548" t="s">
        <v>30</v>
      </c>
      <c r="L548" t="s">
        <v>30</v>
      </c>
      <c r="M548" t="s">
        <v>97</v>
      </c>
      <c r="N548">
        <v>21</v>
      </c>
      <c r="O548">
        <v>2</v>
      </c>
      <c r="P548">
        <v>0</v>
      </c>
      <c r="Q548">
        <v>12580.5412371134</v>
      </c>
      <c r="R548">
        <v>12.24226804123711</v>
      </c>
      <c r="S548">
        <v>1027.631578947368</v>
      </c>
      <c r="T548">
        <v>0</v>
      </c>
      <c r="U548">
        <v>0</v>
      </c>
      <c r="V548">
        <v>1</v>
      </c>
      <c r="W548">
        <v>9.879502189785615</v>
      </c>
      <c r="X548">
        <v>1</v>
      </c>
    </row>
    <row r="549" spans="1:24">
      <c r="A549" t="s">
        <v>1686</v>
      </c>
      <c r="B549" t="s">
        <v>1687</v>
      </c>
      <c r="C549" t="s">
        <v>52</v>
      </c>
      <c r="D549">
        <v>5.548</v>
      </c>
      <c r="E549">
        <v>2811</v>
      </c>
      <c r="F549">
        <v>17</v>
      </c>
      <c r="G549" t="s">
        <v>47</v>
      </c>
      <c r="H549" t="s">
        <v>1688</v>
      </c>
      <c r="I549" t="s">
        <v>29</v>
      </c>
      <c r="J549" t="s">
        <v>31</v>
      </c>
      <c r="K549" t="s">
        <v>31</v>
      </c>
      <c r="L549" t="s">
        <v>31</v>
      </c>
      <c r="M549" t="s">
        <v>44</v>
      </c>
      <c r="N549">
        <v>21</v>
      </c>
      <c r="O549">
        <v>2</v>
      </c>
      <c r="P549">
        <v>0</v>
      </c>
      <c r="Q549">
        <v>506.6690699351117</v>
      </c>
      <c r="R549">
        <v>3.064167267483778</v>
      </c>
      <c r="S549">
        <v>165.3529411764706</v>
      </c>
      <c r="T549">
        <v>0</v>
      </c>
      <c r="U549">
        <v>0</v>
      </c>
      <c r="V549">
        <v>0</v>
      </c>
      <c r="W549">
        <v>7.941651252930556</v>
      </c>
      <c r="X549">
        <v>0</v>
      </c>
    </row>
    <row r="550" spans="1:24">
      <c r="A550" t="s">
        <v>1689</v>
      </c>
      <c r="B550" t="s">
        <v>1690</v>
      </c>
      <c r="C550" t="s">
        <v>35</v>
      </c>
      <c r="D550">
        <v>3.714</v>
      </c>
      <c r="E550">
        <v>1267</v>
      </c>
      <c r="F550">
        <v>17</v>
      </c>
      <c r="G550" t="s">
        <v>27</v>
      </c>
      <c r="H550" t="s">
        <v>1691</v>
      </c>
      <c r="I550" t="s">
        <v>29</v>
      </c>
      <c r="J550" t="s">
        <v>30</v>
      </c>
      <c r="K550" t="s">
        <v>38</v>
      </c>
      <c r="L550" t="s">
        <v>30</v>
      </c>
      <c r="M550" t="s">
        <v>44</v>
      </c>
      <c r="N550">
        <v>21</v>
      </c>
      <c r="O550">
        <v>2</v>
      </c>
      <c r="P550">
        <v>0</v>
      </c>
      <c r="Q550">
        <v>341.1416262789446</v>
      </c>
      <c r="R550">
        <v>4.577275175013463</v>
      </c>
      <c r="S550">
        <v>74.52941176470588</v>
      </c>
      <c r="T550">
        <v>0</v>
      </c>
      <c r="U550">
        <v>0</v>
      </c>
      <c r="V550">
        <v>0</v>
      </c>
      <c r="W550">
        <v>7.145196134997171</v>
      </c>
      <c r="X550">
        <v>0</v>
      </c>
    </row>
    <row r="551" spans="1:24">
      <c r="A551" t="s">
        <v>1692</v>
      </c>
      <c r="B551" t="s">
        <v>1693</v>
      </c>
      <c r="C551" t="s">
        <v>26</v>
      </c>
      <c r="D551">
        <v>0.063</v>
      </c>
      <c r="E551">
        <v>4619</v>
      </c>
      <c r="F551">
        <v>4</v>
      </c>
      <c r="G551" t="s">
        <v>47</v>
      </c>
      <c r="H551" t="s">
        <v>1694</v>
      </c>
      <c r="I551" t="s">
        <v>90</v>
      </c>
      <c r="J551" t="s">
        <v>31</v>
      </c>
      <c r="K551" t="s">
        <v>30</v>
      </c>
      <c r="L551" t="s">
        <v>31</v>
      </c>
      <c r="M551" t="s">
        <v>97</v>
      </c>
      <c r="N551">
        <v>21</v>
      </c>
      <c r="O551">
        <v>2</v>
      </c>
      <c r="P551">
        <v>0</v>
      </c>
      <c r="Q551">
        <v>73317.46031746031</v>
      </c>
      <c r="R551">
        <v>63.49206349206349</v>
      </c>
      <c r="S551">
        <v>1154.75</v>
      </c>
      <c r="T551">
        <v>0</v>
      </c>
      <c r="U551">
        <v>0</v>
      </c>
      <c r="V551">
        <v>0</v>
      </c>
      <c r="W551">
        <v>8.438149984075784</v>
      </c>
      <c r="X551">
        <v>1</v>
      </c>
    </row>
    <row r="552" spans="1:24">
      <c r="A552" t="s">
        <v>1695</v>
      </c>
      <c r="B552" t="s">
        <v>1696</v>
      </c>
      <c r="C552" t="s">
        <v>35</v>
      </c>
      <c r="D552">
        <v>3.367</v>
      </c>
      <c r="E552">
        <v>810</v>
      </c>
      <c r="F552">
        <v>16</v>
      </c>
      <c r="G552" t="s">
        <v>62</v>
      </c>
      <c r="H552" t="s">
        <v>1697</v>
      </c>
      <c r="I552" t="s">
        <v>29</v>
      </c>
      <c r="J552" t="s">
        <v>30</v>
      </c>
      <c r="K552" t="s">
        <v>31</v>
      </c>
      <c r="L552" t="s">
        <v>31</v>
      </c>
      <c r="M552" t="s">
        <v>97</v>
      </c>
      <c r="N552">
        <v>21</v>
      </c>
      <c r="O552">
        <v>2</v>
      </c>
      <c r="P552">
        <v>0</v>
      </c>
      <c r="Q552">
        <v>240.5702405702406</v>
      </c>
      <c r="R552">
        <v>4.752004752004752</v>
      </c>
      <c r="S552">
        <v>50.625</v>
      </c>
      <c r="T552">
        <v>0</v>
      </c>
      <c r="U552">
        <v>0</v>
      </c>
      <c r="V552">
        <v>0</v>
      </c>
      <c r="W552">
        <v>6.698268054115413</v>
      </c>
      <c r="X552">
        <v>0</v>
      </c>
    </row>
    <row r="553" spans="1:24">
      <c r="A553" t="s">
        <v>1698</v>
      </c>
      <c r="B553" t="s">
        <v>1699</v>
      </c>
      <c r="C553" t="s">
        <v>35</v>
      </c>
      <c r="D553">
        <v>1.605</v>
      </c>
      <c r="E553">
        <v>10565</v>
      </c>
      <c r="F553">
        <v>26</v>
      </c>
      <c r="G553" t="s">
        <v>62</v>
      </c>
      <c r="H553" t="s">
        <v>1700</v>
      </c>
      <c r="I553" t="s">
        <v>43</v>
      </c>
      <c r="J553" t="s">
        <v>30</v>
      </c>
      <c r="K553" t="s">
        <v>31</v>
      </c>
      <c r="L553" t="s">
        <v>30</v>
      </c>
      <c r="M553" t="s">
        <v>44</v>
      </c>
      <c r="N553">
        <v>21</v>
      </c>
      <c r="O553">
        <v>2</v>
      </c>
      <c r="P553">
        <v>0</v>
      </c>
      <c r="Q553">
        <v>6582.554517133956</v>
      </c>
      <c r="R553">
        <v>16.1993769470405</v>
      </c>
      <c r="S553">
        <v>406.3461538461539</v>
      </c>
      <c r="T553">
        <v>0</v>
      </c>
      <c r="U553">
        <v>0</v>
      </c>
      <c r="V553">
        <v>1</v>
      </c>
      <c r="W553">
        <v>9.26539657772426</v>
      </c>
      <c r="X553">
        <v>1</v>
      </c>
    </row>
    <row r="554" spans="1:24">
      <c r="A554" t="s">
        <v>1701</v>
      </c>
      <c r="B554" t="s">
        <v>1702</v>
      </c>
      <c r="C554" t="s">
        <v>35</v>
      </c>
      <c r="D554">
        <v>1.531</v>
      </c>
      <c r="E554">
        <v>1218</v>
      </c>
      <c r="F554">
        <v>12</v>
      </c>
      <c r="G554" t="s">
        <v>36</v>
      </c>
      <c r="H554" t="s">
        <v>1703</v>
      </c>
      <c r="I554" t="s">
        <v>29</v>
      </c>
      <c r="J554" t="s">
        <v>38</v>
      </c>
      <c r="K554" t="s">
        <v>31</v>
      </c>
      <c r="L554" t="s">
        <v>30</v>
      </c>
      <c r="M554" t="s">
        <v>97</v>
      </c>
      <c r="N554">
        <v>22</v>
      </c>
      <c r="O554">
        <v>2</v>
      </c>
      <c r="P554">
        <v>0</v>
      </c>
      <c r="Q554">
        <v>795.5584585238407</v>
      </c>
      <c r="R554">
        <v>7.838014369693012</v>
      </c>
      <c r="S554">
        <v>101.5</v>
      </c>
      <c r="T554">
        <v>0</v>
      </c>
      <c r="U554">
        <v>1</v>
      </c>
      <c r="V554">
        <v>0</v>
      </c>
      <c r="W554">
        <v>7.105786129481271</v>
      </c>
      <c r="X554">
        <v>0</v>
      </c>
    </row>
    <row r="555" spans="1:24">
      <c r="A555" t="s">
        <v>1704</v>
      </c>
      <c r="B555" t="s">
        <v>1705</v>
      </c>
      <c r="C555" t="s">
        <v>35</v>
      </c>
      <c r="D555">
        <v>1.345</v>
      </c>
      <c r="E555">
        <v>1867</v>
      </c>
      <c r="F555">
        <v>15</v>
      </c>
      <c r="G555" t="s">
        <v>47</v>
      </c>
      <c r="H555" t="s">
        <v>1706</v>
      </c>
      <c r="I555" t="s">
        <v>29</v>
      </c>
      <c r="J555" t="s">
        <v>31</v>
      </c>
      <c r="K555" t="s">
        <v>31</v>
      </c>
      <c r="L555" t="s">
        <v>30</v>
      </c>
      <c r="M555" t="s">
        <v>76</v>
      </c>
      <c r="N555">
        <v>22</v>
      </c>
      <c r="O555">
        <v>2</v>
      </c>
      <c r="P555">
        <v>0</v>
      </c>
      <c r="Q555">
        <v>1388.104089219331</v>
      </c>
      <c r="R555">
        <v>11.15241635687732</v>
      </c>
      <c r="S555">
        <v>124.4666666666667</v>
      </c>
      <c r="T555">
        <v>0</v>
      </c>
      <c r="U555">
        <v>1</v>
      </c>
      <c r="V555">
        <v>0</v>
      </c>
      <c r="W555">
        <v>7.532623618788788</v>
      </c>
      <c r="X555">
        <v>0</v>
      </c>
    </row>
    <row r="556" spans="1:24">
      <c r="A556" t="s">
        <v>1707</v>
      </c>
      <c r="B556" t="s">
        <v>1708</v>
      </c>
      <c r="C556" t="s">
        <v>35</v>
      </c>
      <c r="D556">
        <v>2.89</v>
      </c>
      <c r="E556">
        <v>1770</v>
      </c>
      <c r="F556">
        <v>14</v>
      </c>
      <c r="G556" t="s">
        <v>47</v>
      </c>
      <c r="H556" t="s">
        <v>1709</v>
      </c>
      <c r="I556" t="s">
        <v>29</v>
      </c>
      <c r="J556" t="s">
        <v>31</v>
      </c>
      <c r="K556" t="s">
        <v>31</v>
      </c>
      <c r="L556" t="s">
        <v>30</v>
      </c>
      <c r="M556" t="s">
        <v>44</v>
      </c>
      <c r="N556">
        <v>22</v>
      </c>
      <c r="O556">
        <v>2</v>
      </c>
      <c r="P556">
        <v>0</v>
      </c>
      <c r="Q556">
        <v>612.4567474048442</v>
      </c>
      <c r="R556">
        <v>4.844290657439446</v>
      </c>
      <c r="S556">
        <v>126.4285714285714</v>
      </c>
      <c r="T556">
        <v>0</v>
      </c>
      <c r="U556">
        <v>1</v>
      </c>
      <c r="V556">
        <v>0</v>
      </c>
      <c r="W556">
        <v>7.479299637782834</v>
      </c>
      <c r="X556">
        <v>0</v>
      </c>
    </row>
    <row r="557" spans="1:24">
      <c r="A557" t="s">
        <v>1710</v>
      </c>
      <c r="B557" t="s">
        <v>1711</v>
      </c>
      <c r="C557" t="s">
        <v>35</v>
      </c>
      <c r="D557">
        <v>3.182</v>
      </c>
      <c r="E557">
        <v>402</v>
      </c>
      <c r="F557">
        <v>13</v>
      </c>
      <c r="G557" t="s">
        <v>27</v>
      </c>
      <c r="H557" t="s">
        <v>1712</v>
      </c>
      <c r="I557" t="s">
        <v>29</v>
      </c>
      <c r="J557" t="s">
        <v>30</v>
      </c>
      <c r="K557" t="s">
        <v>38</v>
      </c>
      <c r="L557" t="s">
        <v>30</v>
      </c>
      <c r="M557" t="s">
        <v>83</v>
      </c>
      <c r="N557">
        <v>22</v>
      </c>
      <c r="O557">
        <v>2</v>
      </c>
      <c r="P557">
        <v>0</v>
      </c>
      <c r="Q557">
        <v>126.3356379635449</v>
      </c>
      <c r="R557">
        <v>4.085480829666876</v>
      </c>
      <c r="S557">
        <v>30.92307692307692</v>
      </c>
      <c r="T557">
        <v>0</v>
      </c>
      <c r="U557">
        <v>1</v>
      </c>
      <c r="V557">
        <v>0</v>
      </c>
      <c r="W557">
        <v>5.998936561946683</v>
      </c>
      <c r="X557">
        <v>0</v>
      </c>
    </row>
    <row r="558" spans="1:24">
      <c r="A558" t="s">
        <v>1713</v>
      </c>
      <c r="B558" t="s">
        <v>1714</v>
      </c>
      <c r="C558" t="s">
        <v>35</v>
      </c>
      <c r="D558">
        <v>2.536</v>
      </c>
      <c r="E558">
        <v>1511</v>
      </c>
      <c r="F558">
        <v>20</v>
      </c>
      <c r="G558" t="s">
        <v>62</v>
      </c>
      <c r="H558" t="s">
        <v>1715</v>
      </c>
      <c r="I558" t="s">
        <v>29</v>
      </c>
      <c r="J558" t="s">
        <v>30</v>
      </c>
      <c r="K558" t="s">
        <v>38</v>
      </c>
      <c r="L558" t="s">
        <v>30</v>
      </c>
      <c r="M558" t="s">
        <v>44</v>
      </c>
      <c r="N558">
        <v>22</v>
      </c>
      <c r="O558">
        <v>2</v>
      </c>
      <c r="P558">
        <v>0</v>
      </c>
      <c r="Q558">
        <v>595.8201892744479</v>
      </c>
      <c r="R558">
        <v>7.886435331230284</v>
      </c>
      <c r="S558">
        <v>75.55</v>
      </c>
      <c r="T558">
        <v>0</v>
      </c>
      <c r="U558">
        <v>1</v>
      </c>
      <c r="V558">
        <v>0</v>
      </c>
      <c r="W558">
        <v>7.321188556739478</v>
      </c>
      <c r="X558">
        <v>0</v>
      </c>
    </row>
    <row r="559" spans="1:24">
      <c r="A559" t="s">
        <v>1716</v>
      </c>
      <c r="B559" t="s">
        <v>1717</v>
      </c>
      <c r="C559" t="s">
        <v>26</v>
      </c>
      <c r="D559">
        <v>1.98</v>
      </c>
      <c r="E559">
        <v>2188</v>
      </c>
      <c r="F559">
        <v>21</v>
      </c>
      <c r="G559" t="s">
        <v>62</v>
      </c>
      <c r="H559" t="s">
        <v>1718</v>
      </c>
      <c r="I559" t="s">
        <v>29</v>
      </c>
      <c r="J559" t="s">
        <v>30</v>
      </c>
      <c r="K559" t="s">
        <v>30</v>
      </c>
      <c r="L559" t="s">
        <v>31</v>
      </c>
      <c r="M559" t="s">
        <v>83</v>
      </c>
      <c r="N559">
        <v>22</v>
      </c>
      <c r="O559">
        <v>2</v>
      </c>
      <c r="P559">
        <v>0</v>
      </c>
      <c r="Q559">
        <v>1105.050505050505</v>
      </c>
      <c r="R559">
        <v>10.60606060606061</v>
      </c>
      <c r="S559">
        <v>104.1904761904762</v>
      </c>
      <c r="T559">
        <v>0</v>
      </c>
      <c r="U559">
        <v>1</v>
      </c>
      <c r="V559">
        <v>0</v>
      </c>
      <c r="W559">
        <v>7.691200097522863</v>
      </c>
      <c r="X559">
        <v>0</v>
      </c>
    </row>
    <row r="560" spans="1:24">
      <c r="A560" t="s">
        <v>1719</v>
      </c>
      <c r="B560" t="s">
        <v>1720</v>
      </c>
      <c r="C560" t="s">
        <v>52</v>
      </c>
      <c r="D560">
        <v>1.092</v>
      </c>
      <c r="E560">
        <v>2065</v>
      </c>
      <c r="F560">
        <v>11</v>
      </c>
      <c r="G560" t="s">
        <v>27</v>
      </c>
      <c r="H560" t="s">
        <v>1721</v>
      </c>
      <c r="I560" t="s">
        <v>29</v>
      </c>
      <c r="J560" t="s">
        <v>30</v>
      </c>
      <c r="K560" t="s">
        <v>30</v>
      </c>
      <c r="L560" t="s">
        <v>31</v>
      </c>
      <c r="M560" t="s">
        <v>97</v>
      </c>
      <c r="N560">
        <v>22</v>
      </c>
      <c r="O560">
        <v>2</v>
      </c>
      <c r="P560">
        <v>0</v>
      </c>
      <c r="Q560">
        <v>1891.025641025641</v>
      </c>
      <c r="R560">
        <v>10.07326007326007</v>
      </c>
      <c r="S560">
        <v>187.7272727272727</v>
      </c>
      <c r="T560">
        <v>0</v>
      </c>
      <c r="U560">
        <v>1</v>
      </c>
      <c r="V560">
        <v>0</v>
      </c>
      <c r="W560">
        <v>7.633369649679584</v>
      </c>
      <c r="X560">
        <v>0</v>
      </c>
    </row>
    <row r="561" spans="1:24">
      <c r="A561" t="s">
        <v>1722</v>
      </c>
      <c r="B561" t="s">
        <v>1723</v>
      </c>
      <c r="C561" t="s">
        <v>35</v>
      </c>
      <c r="D561">
        <v>1.171</v>
      </c>
      <c r="E561">
        <v>2119</v>
      </c>
      <c r="F561">
        <v>15</v>
      </c>
      <c r="G561" t="s">
        <v>36</v>
      </c>
      <c r="H561" t="s">
        <v>1724</v>
      </c>
      <c r="I561" t="s">
        <v>29</v>
      </c>
      <c r="J561" t="s">
        <v>38</v>
      </c>
      <c r="K561" t="s">
        <v>31</v>
      </c>
      <c r="L561" t="s">
        <v>30</v>
      </c>
      <c r="M561" t="s">
        <v>97</v>
      </c>
      <c r="N561">
        <v>22</v>
      </c>
      <c r="O561">
        <v>2</v>
      </c>
      <c r="P561">
        <v>0</v>
      </c>
      <c r="Q561">
        <v>1809.564474807856</v>
      </c>
      <c r="R561">
        <v>12.80956447480786</v>
      </c>
      <c r="S561">
        <v>141.2666666666667</v>
      </c>
      <c r="T561">
        <v>0</v>
      </c>
      <c r="U561">
        <v>1</v>
      </c>
      <c r="V561">
        <v>0</v>
      </c>
      <c r="W561">
        <v>7.659171367666058</v>
      </c>
      <c r="X561">
        <v>0</v>
      </c>
    </row>
    <row r="562" spans="1:24">
      <c r="A562" t="s">
        <v>1725</v>
      </c>
      <c r="B562" t="s">
        <v>1726</v>
      </c>
      <c r="C562" t="s">
        <v>52</v>
      </c>
      <c r="D562">
        <v>0.312</v>
      </c>
      <c r="E562">
        <v>2080</v>
      </c>
      <c r="F562">
        <v>19</v>
      </c>
      <c r="G562" t="s">
        <v>62</v>
      </c>
      <c r="H562" t="s">
        <v>1727</v>
      </c>
      <c r="I562" t="s">
        <v>29</v>
      </c>
      <c r="J562" t="s">
        <v>30</v>
      </c>
      <c r="K562" t="s">
        <v>30</v>
      </c>
      <c r="L562" t="s">
        <v>31</v>
      </c>
      <c r="M562" t="s">
        <v>44</v>
      </c>
      <c r="N562">
        <v>22</v>
      </c>
      <c r="O562">
        <v>2</v>
      </c>
      <c r="P562">
        <v>0</v>
      </c>
      <c r="Q562">
        <v>6666.666666666667</v>
      </c>
      <c r="R562">
        <v>60.8974358974359</v>
      </c>
      <c r="S562">
        <v>109.4736842105263</v>
      </c>
      <c r="T562">
        <v>0</v>
      </c>
      <c r="U562">
        <v>1</v>
      </c>
      <c r="V562">
        <v>0</v>
      </c>
      <c r="W562">
        <v>7.640603826393634</v>
      </c>
      <c r="X562">
        <v>0</v>
      </c>
    </row>
    <row r="563" spans="1:24">
      <c r="A563" t="s">
        <v>1728</v>
      </c>
      <c r="B563" t="s">
        <v>1729</v>
      </c>
      <c r="C563" t="s">
        <v>35</v>
      </c>
      <c r="D563">
        <v>0.79</v>
      </c>
      <c r="E563">
        <v>14971</v>
      </c>
      <c r="F563">
        <v>18</v>
      </c>
      <c r="G563" t="s">
        <v>62</v>
      </c>
      <c r="H563" t="s">
        <v>1730</v>
      </c>
      <c r="I563" t="s">
        <v>29</v>
      </c>
      <c r="J563" t="s">
        <v>30</v>
      </c>
      <c r="K563" t="s">
        <v>31</v>
      </c>
      <c r="L563" t="s">
        <v>31</v>
      </c>
      <c r="M563" t="s">
        <v>44</v>
      </c>
      <c r="N563">
        <v>22</v>
      </c>
      <c r="O563">
        <v>2</v>
      </c>
      <c r="P563">
        <v>0</v>
      </c>
      <c r="Q563">
        <v>18950.6329113924</v>
      </c>
      <c r="R563">
        <v>22.78481012658228</v>
      </c>
      <c r="S563">
        <v>831.7222222222222</v>
      </c>
      <c r="T563">
        <v>0</v>
      </c>
      <c r="U563">
        <v>1</v>
      </c>
      <c r="V563">
        <v>1</v>
      </c>
      <c r="W563">
        <v>9.61393706902432</v>
      </c>
      <c r="X563">
        <v>0</v>
      </c>
    </row>
    <row r="564" spans="1:24">
      <c r="A564" t="s">
        <v>1731</v>
      </c>
      <c r="B564" t="s">
        <v>1732</v>
      </c>
      <c r="C564" t="s">
        <v>35</v>
      </c>
      <c r="D564">
        <v>0.751</v>
      </c>
      <c r="E564">
        <v>11252</v>
      </c>
      <c r="F564">
        <v>68</v>
      </c>
      <c r="G564" t="s">
        <v>36</v>
      </c>
      <c r="H564" t="s">
        <v>1733</v>
      </c>
      <c r="I564" t="s">
        <v>49</v>
      </c>
      <c r="J564" t="s">
        <v>38</v>
      </c>
      <c r="K564" t="s">
        <v>30</v>
      </c>
      <c r="L564" t="s">
        <v>38</v>
      </c>
      <c r="M564" t="s">
        <v>83</v>
      </c>
      <c r="N564">
        <v>22</v>
      </c>
      <c r="O564">
        <v>2</v>
      </c>
      <c r="P564">
        <v>0</v>
      </c>
      <c r="Q564">
        <v>14982.689747004</v>
      </c>
      <c r="R564">
        <v>90.54593874833556</v>
      </c>
      <c r="S564">
        <v>165.4705882352941</v>
      </c>
      <c r="T564">
        <v>0</v>
      </c>
      <c r="U564">
        <v>1</v>
      </c>
      <c r="V564">
        <v>1</v>
      </c>
      <c r="W564">
        <v>9.328390038749998</v>
      </c>
      <c r="X564">
        <v>1</v>
      </c>
    </row>
    <row r="565" spans="1:24">
      <c r="A565" t="s">
        <v>1734</v>
      </c>
      <c r="B565" t="s">
        <v>1735</v>
      </c>
      <c r="C565" t="s">
        <v>35</v>
      </c>
      <c r="D565">
        <v>1.616</v>
      </c>
      <c r="E565">
        <v>3974</v>
      </c>
      <c r="F565">
        <v>16</v>
      </c>
      <c r="G565" t="s">
        <v>36</v>
      </c>
      <c r="H565" t="s">
        <v>1736</v>
      </c>
      <c r="I565" t="s">
        <v>29</v>
      </c>
      <c r="J565" t="s">
        <v>38</v>
      </c>
      <c r="K565" t="s">
        <v>31</v>
      </c>
      <c r="L565" t="s">
        <v>38</v>
      </c>
      <c r="M565" t="s">
        <v>32</v>
      </c>
      <c r="N565">
        <v>22</v>
      </c>
      <c r="O565">
        <v>2</v>
      </c>
      <c r="P565">
        <v>0</v>
      </c>
      <c r="Q565">
        <v>2459.158415841584</v>
      </c>
      <c r="R565">
        <v>9.900990099009899</v>
      </c>
      <c r="S565">
        <v>248.375</v>
      </c>
      <c r="T565">
        <v>0</v>
      </c>
      <c r="U565">
        <v>1</v>
      </c>
      <c r="V565">
        <v>0</v>
      </c>
      <c r="W565">
        <v>8.287780027088433</v>
      </c>
      <c r="X565">
        <v>0</v>
      </c>
    </row>
    <row r="566" spans="1:24">
      <c r="A566" t="s">
        <v>1737</v>
      </c>
      <c r="B566" t="s">
        <v>1738</v>
      </c>
      <c r="C566" t="s">
        <v>35</v>
      </c>
      <c r="D566">
        <v>2.61</v>
      </c>
      <c r="E566">
        <v>4761</v>
      </c>
      <c r="F566">
        <v>11</v>
      </c>
      <c r="G566" t="s">
        <v>27</v>
      </c>
      <c r="H566" t="s">
        <v>1739</v>
      </c>
      <c r="I566" t="s">
        <v>29</v>
      </c>
      <c r="J566" t="s">
        <v>30</v>
      </c>
      <c r="K566" t="s">
        <v>30</v>
      </c>
      <c r="L566" t="s">
        <v>30</v>
      </c>
      <c r="M566" t="s">
        <v>44</v>
      </c>
      <c r="N566">
        <v>23</v>
      </c>
      <c r="O566">
        <v>2</v>
      </c>
      <c r="P566">
        <v>0</v>
      </c>
      <c r="Q566">
        <v>1824.137931034483</v>
      </c>
      <c r="R566">
        <v>4.21455938697318</v>
      </c>
      <c r="S566">
        <v>432.8181818181818</v>
      </c>
      <c r="T566">
        <v>0</v>
      </c>
      <c r="U566">
        <v>1</v>
      </c>
      <c r="V566">
        <v>0</v>
      </c>
      <c r="W566">
        <v>8.468423027046809</v>
      </c>
      <c r="X566">
        <v>0</v>
      </c>
    </row>
    <row r="567" spans="1:24">
      <c r="A567" t="s">
        <v>1740</v>
      </c>
      <c r="B567" t="s">
        <v>1741</v>
      </c>
      <c r="C567" t="s">
        <v>26</v>
      </c>
      <c r="D567">
        <v>2.247</v>
      </c>
      <c r="E567">
        <v>2281</v>
      </c>
      <c r="F567">
        <v>19</v>
      </c>
      <c r="G567" t="s">
        <v>36</v>
      </c>
      <c r="H567" t="s">
        <v>1742</v>
      </c>
      <c r="I567" t="s">
        <v>29</v>
      </c>
      <c r="J567" t="s">
        <v>38</v>
      </c>
      <c r="K567" t="s">
        <v>31</v>
      </c>
      <c r="L567" t="s">
        <v>31</v>
      </c>
      <c r="M567" t="s">
        <v>44</v>
      </c>
      <c r="N567">
        <v>23</v>
      </c>
      <c r="O567">
        <v>2</v>
      </c>
      <c r="P567">
        <v>0</v>
      </c>
      <c r="Q567">
        <v>1015.131286159324</v>
      </c>
      <c r="R567">
        <v>8.455718736092567</v>
      </c>
      <c r="S567">
        <v>120.0526315789474</v>
      </c>
      <c r="T567">
        <v>0</v>
      </c>
      <c r="U567">
        <v>1</v>
      </c>
      <c r="V567">
        <v>0</v>
      </c>
      <c r="W567">
        <v>7.732807530422021</v>
      </c>
      <c r="X567">
        <v>0</v>
      </c>
    </row>
    <row r="568" spans="1:24">
      <c r="A568" t="s">
        <v>1743</v>
      </c>
      <c r="B568" t="s">
        <v>1744</v>
      </c>
      <c r="C568" t="s">
        <v>35</v>
      </c>
      <c r="D568">
        <v>15.305</v>
      </c>
      <c r="E568">
        <v>1889</v>
      </c>
      <c r="F568">
        <v>16</v>
      </c>
      <c r="G568" t="s">
        <v>47</v>
      </c>
      <c r="H568" t="s">
        <v>1745</v>
      </c>
      <c r="I568" t="s">
        <v>29</v>
      </c>
      <c r="J568" t="s">
        <v>31</v>
      </c>
      <c r="K568" t="s">
        <v>30</v>
      </c>
      <c r="L568" t="s">
        <v>31</v>
      </c>
      <c r="M568" t="s">
        <v>97</v>
      </c>
      <c r="N568">
        <v>23</v>
      </c>
      <c r="O568">
        <v>2</v>
      </c>
      <c r="P568">
        <v>0</v>
      </c>
      <c r="Q568">
        <v>123.4237177393009</v>
      </c>
      <c r="R568">
        <v>1.045409996733094</v>
      </c>
      <c r="S568">
        <v>118.0625</v>
      </c>
      <c r="T568">
        <v>0</v>
      </c>
      <c r="U568">
        <v>1</v>
      </c>
      <c r="V568">
        <v>0</v>
      </c>
      <c r="W568">
        <v>7.544332108053688</v>
      </c>
      <c r="X568">
        <v>0</v>
      </c>
    </row>
    <row r="569" spans="1:24">
      <c r="A569" t="s">
        <v>1746</v>
      </c>
      <c r="B569" t="s">
        <v>1747</v>
      </c>
      <c r="C569" t="s">
        <v>26</v>
      </c>
      <c r="D569">
        <v>9.804</v>
      </c>
      <c r="E569">
        <v>1146</v>
      </c>
      <c r="F569">
        <v>15</v>
      </c>
      <c r="G569" t="s">
        <v>47</v>
      </c>
      <c r="H569" t="s">
        <v>1748</v>
      </c>
      <c r="I569" t="s">
        <v>29</v>
      </c>
      <c r="J569" t="s">
        <v>31</v>
      </c>
      <c r="K569" t="s">
        <v>30</v>
      </c>
      <c r="L569" t="s">
        <v>30</v>
      </c>
      <c r="M569" t="s">
        <v>97</v>
      </c>
      <c r="N569">
        <v>23</v>
      </c>
      <c r="O569">
        <v>2</v>
      </c>
      <c r="P569">
        <v>0</v>
      </c>
      <c r="Q569">
        <v>116.891064871481</v>
      </c>
      <c r="R569">
        <v>1.529987760097919</v>
      </c>
      <c r="S569">
        <v>76.40000000000001</v>
      </c>
      <c r="T569">
        <v>0</v>
      </c>
      <c r="U569">
        <v>1</v>
      </c>
      <c r="V569">
        <v>0</v>
      </c>
      <c r="W569">
        <v>7.044905117129371</v>
      </c>
      <c r="X569">
        <v>0</v>
      </c>
    </row>
    <row r="570" spans="1:24">
      <c r="A570" t="s">
        <v>1749</v>
      </c>
      <c r="B570" t="s">
        <v>1750</v>
      </c>
      <c r="C570" t="s">
        <v>35</v>
      </c>
      <c r="D570">
        <v>8.574</v>
      </c>
      <c r="E570">
        <v>2086</v>
      </c>
      <c r="F570">
        <v>16</v>
      </c>
      <c r="G570" t="s">
        <v>27</v>
      </c>
      <c r="H570" t="s">
        <v>1751</v>
      </c>
      <c r="I570" t="s">
        <v>29</v>
      </c>
      <c r="J570" t="s">
        <v>30</v>
      </c>
      <c r="K570" t="s">
        <v>30</v>
      </c>
      <c r="L570" t="s">
        <v>31</v>
      </c>
      <c r="M570" t="s">
        <v>44</v>
      </c>
      <c r="N570">
        <v>23</v>
      </c>
      <c r="O570">
        <v>2</v>
      </c>
      <c r="P570">
        <v>0</v>
      </c>
      <c r="Q570">
        <v>243.2936785630977</v>
      </c>
      <c r="R570">
        <v>1.866106834616282</v>
      </c>
      <c r="S570">
        <v>130.375</v>
      </c>
      <c r="T570">
        <v>0</v>
      </c>
      <c r="U570">
        <v>1</v>
      </c>
      <c r="V570">
        <v>0</v>
      </c>
      <c r="W570">
        <v>7.643482907077201</v>
      </c>
      <c r="X570">
        <v>0</v>
      </c>
    </row>
    <row r="571" spans="1:24">
      <c r="A571" t="s">
        <v>1752</v>
      </c>
      <c r="B571" t="s">
        <v>1753</v>
      </c>
      <c r="C571" t="s">
        <v>35</v>
      </c>
      <c r="D571">
        <v>2.466</v>
      </c>
      <c r="E571">
        <v>1465</v>
      </c>
      <c r="F571">
        <v>13</v>
      </c>
      <c r="G571" t="s">
        <v>62</v>
      </c>
      <c r="H571" t="s">
        <v>1754</v>
      </c>
      <c r="I571" t="s">
        <v>29</v>
      </c>
      <c r="J571" t="s">
        <v>30</v>
      </c>
      <c r="K571" t="s">
        <v>31</v>
      </c>
      <c r="L571" t="s">
        <v>31</v>
      </c>
      <c r="M571" t="s">
        <v>97</v>
      </c>
      <c r="N571">
        <v>23</v>
      </c>
      <c r="O571">
        <v>2</v>
      </c>
      <c r="P571">
        <v>0</v>
      </c>
      <c r="Q571">
        <v>594.0794809407947</v>
      </c>
      <c r="R571">
        <v>5.27169505271695</v>
      </c>
      <c r="S571">
        <v>112.6923076923077</v>
      </c>
      <c r="T571">
        <v>0</v>
      </c>
      <c r="U571">
        <v>1</v>
      </c>
      <c r="V571">
        <v>0</v>
      </c>
      <c r="W571">
        <v>7.290292882446597</v>
      </c>
      <c r="X571">
        <v>0</v>
      </c>
    </row>
    <row r="572" spans="1:24">
      <c r="A572" t="s">
        <v>1755</v>
      </c>
      <c r="B572" t="s">
        <v>1756</v>
      </c>
      <c r="C572" t="s">
        <v>26</v>
      </c>
      <c r="D572">
        <v>5.593</v>
      </c>
      <c r="E572">
        <v>2197</v>
      </c>
      <c r="F572">
        <v>16</v>
      </c>
      <c r="G572" t="s">
        <v>27</v>
      </c>
      <c r="H572" t="s">
        <v>1757</v>
      </c>
      <c r="I572" t="s">
        <v>29</v>
      </c>
      <c r="J572" t="s">
        <v>30</v>
      </c>
      <c r="K572" t="s">
        <v>30</v>
      </c>
      <c r="L572" t="s">
        <v>30</v>
      </c>
      <c r="M572" t="s">
        <v>44</v>
      </c>
      <c r="N572">
        <v>23</v>
      </c>
      <c r="O572">
        <v>2</v>
      </c>
      <c r="P572">
        <v>0</v>
      </c>
      <c r="Q572">
        <v>392.8124441265868</v>
      </c>
      <c r="R572">
        <v>2.860718755587341</v>
      </c>
      <c r="S572">
        <v>137.3125</v>
      </c>
      <c r="T572">
        <v>0</v>
      </c>
      <c r="U572">
        <v>1</v>
      </c>
      <c r="V572">
        <v>0</v>
      </c>
      <c r="W572">
        <v>7.695303134963567</v>
      </c>
      <c r="X572">
        <v>0</v>
      </c>
    </row>
    <row r="573" spans="1:24">
      <c r="A573" t="s">
        <v>1758</v>
      </c>
      <c r="B573" t="s">
        <v>1759</v>
      </c>
      <c r="C573" t="s">
        <v>35</v>
      </c>
      <c r="D573">
        <v>0.044</v>
      </c>
      <c r="E573">
        <v>3605</v>
      </c>
      <c r="F573">
        <v>1</v>
      </c>
      <c r="G573" t="s">
        <v>36</v>
      </c>
      <c r="H573" t="s">
        <v>1760</v>
      </c>
      <c r="I573" t="s">
        <v>90</v>
      </c>
      <c r="J573" t="s">
        <v>38</v>
      </c>
      <c r="K573" t="s">
        <v>30</v>
      </c>
      <c r="L573" t="s">
        <v>31</v>
      </c>
      <c r="M573" t="s">
        <v>97</v>
      </c>
      <c r="N573">
        <v>23</v>
      </c>
      <c r="O573">
        <v>2</v>
      </c>
      <c r="P573">
        <v>0</v>
      </c>
      <c r="Q573">
        <v>81931.81818181819</v>
      </c>
      <c r="R573">
        <v>22.72727272727273</v>
      </c>
      <c r="S573">
        <v>3605</v>
      </c>
      <c r="T573">
        <v>0</v>
      </c>
      <c r="U573">
        <v>1</v>
      </c>
      <c r="V573">
        <v>0</v>
      </c>
      <c r="W573">
        <v>8.190354403763262</v>
      </c>
      <c r="X573">
        <v>1</v>
      </c>
    </row>
    <row r="574" spans="1:24">
      <c r="A574" t="s">
        <v>1761</v>
      </c>
      <c r="B574" t="s">
        <v>1762</v>
      </c>
      <c r="C574" t="s">
        <v>35</v>
      </c>
      <c r="D574">
        <v>0.101</v>
      </c>
      <c r="E574">
        <v>983</v>
      </c>
      <c r="F574">
        <v>18</v>
      </c>
      <c r="G574" t="s">
        <v>47</v>
      </c>
      <c r="H574" t="s">
        <v>1763</v>
      </c>
      <c r="I574" t="s">
        <v>29</v>
      </c>
      <c r="J574" t="s">
        <v>31</v>
      </c>
      <c r="K574" t="s">
        <v>30</v>
      </c>
      <c r="L574" t="s">
        <v>31</v>
      </c>
      <c r="M574" t="s">
        <v>97</v>
      </c>
      <c r="N574">
        <v>23</v>
      </c>
      <c r="O574">
        <v>2</v>
      </c>
      <c r="P574">
        <v>0</v>
      </c>
      <c r="Q574">
        <v>9732.673267326732</v>
      </c>
      <c r="R574">
        <v>178.2178217821782</v>
      </c>
      <c r="S574">
        <v>54.61111111111112</v>
      </c>
      <c r="T574">
        <v>0</v>
      </c>
      <c r="U574">
        <v>1</v>
      </c>
      <c r="V574">
        <v>0</v>
      </c>
      <c r="W574">
        <v>6.891625897052253</v>
      </c>
      <c r="X574">
        <v>0</v>
      </c>
    </row>
    <row r="575" spans="1:24">
      <c r="A575" t="s">
        <v>1764</v>
      </c>
      <c r="B575" t="s">
        <v>1765</v>
      </c>
      <c r="C575" t="s">
        <v>130</v>
      </c>
      <c r="D575">
        <v>5.638</v>
      </c>
      <c r="E575">
        <v>4111</v>
      </c>
      <c r="F575">
        <v>19</v>
      </c>
      <c r="G575" t="s">
        <v>47</v>
      </c>
      <c r="H575" t="s">
        <v>1766</v>
      </c>
      <c r="I575" t="s">
        <v>29</v>
      </c>
      <c r="J575" t="s">
        <v>31</v>
      </c>
      <c r="K575" t="s">
        <v>31</v>
      </c>
      <c r="L575" t="s">
        <v>30</v>
      </c>
      <c r="M575" t="s">
        <v>97</v>
      </c>
      <c r="N575">
        <v>23</v>
      </c>
      <c r="O575">
        <v>2</v>
      </c>
      <c r="P575">
        <v>0</v>
      </c>
      <c r="Q575">
        <v>729.1592763391274</v>
      </c>
      <c r="R575">
        <v>3.369989357928344</v>
      </c>
      <c r="S575">
        <v>216.3684210526316</v>
      </c>
      <c r="T575">
        <v>0</v>
      </c>
      <c r="U575">
        <v>1</v>
      </c>
      <c r="V575">
        <v>0</v>
      </c>
      <c r="W575">
        <v>8.321664807135001</v>
      </c>
      <c r="X575">
        <v>0</v>
      </c>
    </row>
    <row r="576" spans="1:24">
      <c r="A576" t="s">
        <v>1767</v>
      </c>
      <c r="B576" t="s">
        <v>1768</v>
      </c>
      <c r="C576" t="s">
        <v>35</v>
      </c>
      <c r="D576">
        <v>3.863</v>
      </c>
      <c r="E576">
        <v>6995</v>
      </c>
      <c r="F576">
        <v>19</v>
      </c>
      <c r="G576" t="s">
        <v>62</v>
      </c>
      <c r="H576" t="s">
        <v>1769</v>
      </c>
      <c r="I576" t="s">
        <v>29</v>
      </c>
      <c r="J576" t="s">
        <v>30</v>
      </c>
      <c r="K576" t="s">
        <v>38</v>
      </c>
      <c r="L576" t="s">
        <v>30</v>
      </c>
      <c r="M576" t="s">
        <v>44</v>
      </c>
      <c r="N576">
        <v>23</v>
      </c>
      <c r="O576">
        <v>2</v>
      </c>
      <c r="P576">
        <v>0</v>
      </c>
      <c r="Q576">
        <v>1810.76883251359</v>
      </c>
      <c r="R576">
        <v>4.918457157649495</v>
      </c>
      <c r="S576">
        <v>368.1578947368421</v>
      </c>
      <c r="T576">
        <v>0</v>
      </c>
      <c r="U576">
        <v>1</v>
      </c>
      <c r="V576">
        <v>0</v>
      </c>
      <c r="W576">
        <v>8.853093836138493</v>
      </c>
      <c r="X576">
        <v>0</v>
      </c>
    </row>
    <row r="577" spans="1:24">
      <c r="A577" t="s">
        <v>1770</v>
      </c>
      <c r="B577" t="s">
        <v>1771</v>
      </c>
      <c r="C577" t="s">
        <v>35</v>
      </c>
      <c r="D577">
        <v>0.677</v>
      </c>
      <c r="E577">
        <v>1717</v>
      </c>
      <c r="F577">
        <v>15</v>
      </c>
      <c r="G577" t="s">
        <v>47</v>
      </c>
      <c r="H577" t="s">
        <v>1772</v>
      </c>
      <c r="I577" t="s">
        <v>29</v>
      </c>
      <c r="J577" t="s">
        <v>31</v>
      </c>
      <c r="K577" t="s">
        <v>30</v>
      </c>
      <c r="L577" t="s">
        <v>31</v>
      </c>
      <c r="M577" t="s">
        <v>76</v>
      </c>
      <c r="N577">
        <v>23</v>
      </c>
      <c r="O577">
        <v>2</v>
      </c>
      <c r="P577">
        <v>0</v>
      </c>
      <c r="Q577">
        <v>2536.189069423929</v>
      </c>
      <c r="R577">
        <v>22.15657311669128</v>
      </c>
      <c r="S577">
        <v>114.4666666666667</v>
      </c>
      <c r="T577">
        <v>0</v>
      </c>
      <c r="U577">
        <v>1</v>
      </c>
      <c r="V577">
        <v>0</v>
      </c>
      <c r="W577">
        <v>7.4489161025442</v>
      </c>
      <c r="X577">
        <v>0</v>
      </c>
    </row>
    <row r="578" spans="1:24">
      <c r="A578" t="s">
        <v>1773</v>
      </c>
      <c r="B578" t="s">
        <v>1774</v>
      </c>
      <c r="C578" t="s">
        <v>26</v>
      </c>
      <c r="D578">
        <v>0.364</v>
      </c>
      <c r="E578">
        <v>3090</v>
      </c>
      <c r="F578">
        <v>15</v>
      </c>
      <c r="G578" t="s">
        <v>62</v>
      </c>
      <c r="H578" t="s">
        <v>1775</v>
      </c>
      <c r="I578" t="s">
        <v>29</v>
      </c>
      <c r="J578" t="s">
        <v>30</v>
      </c>
      <c r="K578" t="s">
        <v>30</v>
      </c>
      <c r="L578" t="s">
        <v>31</v>
      </c>
      <c r="M578" t="s">
        <v>97</v>
      </c>
      <c r="N578">
        <v>0</v>
      </c>
      <c r="O578">
        <v>3</v>
      </c>
      <c r="P578">
        <v>0</v>
      </c>
      <c r="Q578">
        <v>8489.010989010989</v>
      </c>
      <c r="R578">
        <v>41.20879120879121</v>
      </c>
      <c r="S578">
        <v>206</v>
      </c>
      <c r="T578">
        <v>0</v>
      </c>
      <c r="U578">
        <v>1</v>
      </c>
      <c r="V578">
        <v>0</v>
      </c>
      <c r="W578">
        <v>8.036249942132116</v>
      </c>
      <c r="X578">
        <v>0</v>
      </c>
    </row>
    <row r="579" spans="1:24">
      <c r="A579" t="s">
        <v>1776</v>
      </c>
      <c r="B579" t="s">
        <v>1777</v>
      </c>
      <c r="C579" t="s">
        <v>26</v>
      </c>
      <c r="D579">
        <v>6.131</v>
      </c>
      <c r="E579">
        <v>1674</v>
      </c>
      <c r="F579">
        <v>16</v>
      </c>
      <c r="G579" t="s">
        <v>36</v>
      </c>
      <c r="H579" t="s">
        <v>1778</v>
      </c>
      <c r="I579" t="s">
        <v>29</v>
      </c>
      <c r="J579" t="s">
        <v>38</v>
      </c>
      <c r="K579" t="s">
        <v>30</v>
      </c>
      <c r="L579" t="s">
        <v>30</v>
      </c>
      <c r="M579" t="s">
        <v>97</v>
      </c>
      <c r="N579">
        <v>0</v>
      </c>
      <c r="O579">
        <v>3</v>
      </c>
      <c r="P579">
        <v>0</v>
      </c>
      <c r="Q579">
        <v>273.0386560104388</v>
      </c>
      <c r="R579">
        <v>2.60968846843908</v>
      </c>
      <c r="S579">
        <v>104.625</v>
      </c>
      <c r="T579">
        <v>0</v>
      </c>
      <c r="U579">
        <v>1</v>
      </c>
      <c r="V579">
        <v>0</v>
      </c>
      <c r="W579">
        <v>7.423568444259167</v>
      </c>
      <c r="X579">
        <v>0</v>
      </c>
    </row>
    <row r="580" spans="1:24">
      <c r="A580" t="s">
        <v>1779</v>
      </c>
      <c r="B580" t="s">
        <v>1780</v>
      </c>
      <c r="C580" t="s">
        <v>35</v>
      </c>
      <c r="D580">
        <v>2.306</v>
      </c>
      <c r="E580">
        <v>9637</v>
      </c>
      <c r="F580">
        <v>20</v>
      </c>
      <c r="G580" t="s">
        <v>36</v>
      </c>
      <c r="H580" t="s">
        <v>1781</v>
      </c>
      <c r="I580" t="s">
        <v>29</v>
      </c>
      <c r="J580" t="s">
        <v>38</v>
      </c>
      <c r="K580" t="s">
        <v>30</v>
      </c>
      <c r="L580" t="s">
        <v>30</v>
      </c>
      <c r="M580" t="s">
        <v>97</v>
      </c>
      <c r="N580">
        <v>0</v>
      </c>
      <c r="O580">
        <v>3</v>
      </c>
      <c r="P580">
        <v>0</v>
      </c>
      <c r="Q580">
        <v>4179.098005203816</v>
      </c>
      <c r="R580">
        <v>8.673026886383347</v>
      </c>
      <c r="S580">
        <v>481.85</v>
      </c>
      <c r="T580">
        <v>0</v>
      </c>
      <c r="U580">
        <v>1</v>
      </c>
      <c r="V580">
        <v>0</v>
      </c>
      <c r="W580">
        <v>9.173468897200278</v>
      </c>
      <c r="X580">
        <v>0</v>
      </c>
    </row>
    <row r="581" spans="1:24">
      <c r="A581" t="s">
        <v>1782</v>
      </c>
      <c r="B581" t="s">
        <v>1783</v>
      </c>
      <c r="C581" t="s">
        <v>35</v>
      </c>
      <c r="D581">
        <v>1.841</v>
      </c>
      <c r="E581">
        <v>4751</v>
      </c>
      <c r="F581">
        <v>13</v>
      </c>
      <c r="G581" t="s">
        <v>62</v>
      </c>
      <c r="H581" t="s">
        <v>1784</v>
      </c>
      <c r="I581" t="s">
        <v>29</v>
      </c>
      <c r="J581" t="s">
        <v>30</v>
      </c>
      <c r="K581" t="s">
        <v>30</v>
      </c>
      <c r="L581" t="s">
        <v>31</v>
      </c>
      <c r="M581" t="s">
        <v>32</v>
      </c>
      <c r="N581">
        <v>0</v>
      </c>
      <c r="O581">
        <v>3</v>
      </c>
      <c r="P581">
        <v>0</v>
      </c>
      <c r="Q581">
        <v>2580.66268332428</v>
      </c>
      <c r="R581">
        <v>7.061379684953829</v>
      </c>
      <c r="S581">
        <v>365.4615384615385</v>
      </c>
      <c r="T581">
        <v>0</v>
      </c>
      <c r="U581">
        <v>1</v>
      </c>
      <c r="V581">
        <v>0</v>
      </c>
      <c r="W581">
        <v>8.466320861042481</v>
      </c>
      <c r="X581">
        <v>0</v>
      </c>
    </row>
    <row r="582" spans="1:24">
      <c r="A582" t="s">
        <v>1785</v>
      </c>
      <c r="B582" t="s">
        <v>1786</v>
      </c>
      <c r="C582" t="s">
        <v>35</v>
      </c>
      <c r="D582">
        <v>0.761</v>
      </c>
      <c r="E582">
        <v>2973</v>
      </c>
      <c r="F582">
        <v>17</v>
      </c>
      <c r="G582" t="s">
        <v>47</v>
      </c>
      <c r="H582" t="s">
        <v>1787</v>
      </c>
      <c r="I582" t="s">
        <v>29</v>
      </c>
      <c r="J582" t="s">
        <v>31</v>
      </c>
      <c r="K582" t="s">
        <v>30</v>
      </c>
      <c r="L582" t="s">
        <v>31</v>
      </c>
      <c r="M582" t="s">
        <v>83</v>
      </c>
      <c r="N582">
        <v>0</v>
      </c>
      <c r="O582">
        <v>3</v>
      </c>
      <c r="P582">
        <v>0</v>
      </c>
      <c r="Q582">
        <v>3906.701708278581</v>
      </c>
      <c r="R582">
        <v>22.33902759526939</v>
      </c>
      <c r="S582">
        <v>174.8823529411765</v>
      </c>
      <c r="T582">
        <v>0</v>
      </c>
      <c r="U582">
        <v>1</v>
      </c>
      <c r="V582">
        <v>0</v>
      </c>
      <c r="W582">
        <v>7.9976631270201</v>
      </c>
      <c r="X582">
        <v>0</v>
      </c>
    </row>
    <row r="583" spans="1:24">
      <c r="A583" t="s">
        <v>1788</v>
      </c>
      <c r="B583" t="s">
        <v>1789</v>
      </c>
      <c r="C583" t="s">
        <v>35</v>
      </c>
      <c r="D583">
        <v>0.225</v>
      </c>
      <c r="E583">
        <v>6862</v>
      </c>
      <c r="F583">
        <v>19</v>
      </c>
      <c r="G583" t="s">
        <v>47</v>
      </c>
      <c r="H583" t="s">
        <v>1790</v>
      </c>
      <c r="I583" t="s">
        <v>29</v>
      </c>
      <c r="J583" t="s">
        <v>31</v>
      </c>
      <c r="K583" t="s">
        <v>30</v>
      </c>
      <c r="L583" t="s">
        <v>38</v>
      </c>
      <c r="M583" t="s">
        <v>39</v>
      </c>
      <c r="N583">
        <v>0</v>
      </c>
      <c r="O583">
        <v>3</v>
      </c>
      <c r="P583">
        <v>0</v>
      </c>
      <c r="Q583">
        <v>30497.77777777778</v>
      </c>
      <c r="R583">
        <v>84.44444444444444</v>
      </c>
      <c r="S583">
        <v>361.1578947368421</v>
      </c>
      <c r="T583">
        <v>0</v>
      </c>
      <c r="U583">
        <v>1</v>
      </c>
      <c r="V583">
        <v>0</v>
      </c>
      <c r="W583">
        <v>8.833899942908635</v>
      </c>
      <c r="X583">
        <v>0</v>
      </c>
    </row>
    <row r="584" spans="1:24">
      <c r="A584" t="s">
        <v>1791</v>
      </c>
      <c r="B584" t="s">
        <v>1792</v>
      </c>
      <c r="C584" t="s">
        <v>35</v>
      </c>
      <c r="D584">
        <v>1.216</v>
      </c>
      <c r="E584">
        <v>436</v>
      </c>
      <c r="F584">
        <v>15</v>
      </c>
      <c r="G584" t="s">
        <v>27</v>
      </c>
      <c r="H584" t="s">
        <v>1793</v>
      </c>
      <c r="I584" t="s">
        <v>29</v>
      </c>
      <c r="J584" t="s">
        <v>30</v>
      </c>
      <c r="K584" t="s">
        <v>30</v>
      </c>
      <c r="L584" t="s">
        <v>38</v>
      </c>
      <c r="M584" t="s">
        <v>76</v>
      </c>
      <c r="N584">
        <v>0</v>
      </c>
      <c r="O584">
        <v>3</v>
      </c>
      <c r="P584">
        <v>0</v>
      </c>
      <c r="Q584">
        <v>358.5526315789474</v>
      </c>
      <c r="R584">
        <v>12.33552631578947</v>
      </c>
      <c r="S584">
        <v>29.06666666666666</v>
      </c>
      <c r="T584">
        <v>0</v>
      </c>
      <c r="U584">
        <v>1</v>
      </c>
      <c r="V584">
        <v>0</v>
      </c>
      <c r="W584">
        <v>6.07993319509559</v>
      </c>
      <c r="X584">
        <v>0</v>
      </c>
    </row>
    <row r="585" spans="1:24">
      <c r="A585" t="s">
        <v>1794</v>
      </c>
      <c r="B585" t="s">
        <v>1795</v>
      </c>
      <c r="C585" t="s">
        <v>26</v>
      </c>
      <c r="D585">
        <v>3.318</v>
      </c>
      <c r="E585">
        <v>12042</v>
      </c>
      <c r="F585">
        <v>17</v>
      </c>
      <c r="G585" t="s">
        <v>36</v>
      </c>
      <c r="H585" t="s">
        <v>1796</v>
      </c>
      <c r="I585" t="s">
        <v>43</v>
      </c>
      <c r="J585" t="s">
        <v>38</v>
      </c>
      <c r="K585" t="s">
        <v>30</v>
      </c>
      <c r="L585" t="s">
        <v>30</v>
      </c>
      <c r="M585" t="s">
        <v>76</v>
      </c>
      <c r="N585">
        <v>0</v>
      </c>
      <c r="O585">
        <v>3</v>
      </c>
      <c r="P585">
        <v>0</v>
      </c>
      <c r="Q585">
        <v>3629.294755877034</v>
      </c>
      <c r="R585">
        <v>5.123568414707656</v>
      </c>
      <c r="S585">
        <v>708.3529411764706</v>
      </c>
      <c r="T585">
        <v>0</v>
      </c>
      <c r="U585">
        <v>1</v>
      </c>
      <c r="V585">
        <v>1</v>
      </c>
      <c r="W585">
        <v>9.39623885726048</v>
      </c>
      <c r="X585">
        <v>1</v>
      </c>
    </row>
    <row r="586" spans="1:24">
      <c r="A586" t="s">
        <v>1797</v>
      </c>
      <c r="B586" t="s">
        <v>1798</v>
      </c>
      <c r="C586" t="s">
        <v>35</v>
      </c>
      <c r="D586">
        <v>1.421</v>
      </c>
      <c r="E586">
        <v>11621</v>
      </c>
      <c r="F586">
        <v>18</v>
      </c>
      <c r="G586" t="s">
        <v>36</v>
      </c>
      <c r="H586" t="s">
        <v>1799</v>
      </c>
      <c r="I586" t="s">
        <v>29</v>
      </c>
      <c r="J586" t="s">
        <v>38</v>
      </c>
      <c r="K586" t="s">
        <v>31</v>
      </c>
      <c r="L586" t="s">
        <v>38</v>
      </c>
      <c r="M586" t="s">
        <v>97</v>
      </c>
      <c r="N586">
        <v>0</v>
      </c>
      <c r="O586">
        <v>3</v>
      </c>
      <c r="P586">
        <v>0</v>
      </c>
      <c r="Q586">
        <v>8178.043631245601</v>
      </c>
      <c r="R586">
        <v>12.66713581984518</v>
      </c>
      <c r="S586">
        <v>645.6111111111111</v>
      </c>
      <c r="T586">
        <v>0</v>
      </c>
      <c r="U586">
        <v>1</v>
      </c>
      <c r="V586">
        <v>1</v>
      </c>
      <c r="W586">
        <v>9.360655132635053</v>
      </c>
      <c r="X586">
        <v>0</v>
      </c>
    </row>
    <row r="587" spans="1:24">
      <c r="A587" t="s">
        <v>1800</v>
      </c>
      <c r="B587" t="s">
        <v>1801</v>
      </c>
      <c r="C587" t="s">
        <v>35</v>
      </c>
      <c r="D587">
        <v>7.246</v>
      </c>
      <c r="E587">
        <v>3768</v>
      </c>
      <c r="F587">
        <v>19</v>
      </c>
      <c r="G587" t="s">
        <v>62</v>
      </c>
      <c r="H587" t="s">
        <v>1802</v>
      </c>
      <c r="I587" t="s">
        <v>43</v>
      </c>
      <c r="J587" t="s">
        <v>30</v>
      </c>
      <c r="K587" t="s">
        <v>31</v>
      </c>
      <c r="L587" t="s">
        <v>30</v>
      </c>
      <c r="M587" t="s">
        <v>44</v>
      </c>
      <c r="N587">
        <v>0</v>
      </c>
      <c r="O587">
        <v>3</v>
      </c>
      <c r="P587">
        <v>0</v>
      </c>
      <c r="Q587">
        <v>520.0110405741099</v>
      </c>
      <c r="R587">
        <v>2.622136351090257</v>
      </c>
      <c r="S587">
        <v>198.3157894736842</v>
      </c>
      <c r="T587">
        <v>0</v>
      </c>
      <c r="U587">
        <v>1</v>
      </c>
      <c r="V587">
        <v>0</v>
      </c>
      <c r="W587">
        <v>8.234564993267135</v>
      </c>
      <c r="X587">
        <v>1</v>
      </c>
    </row>
    <row r="588" spans="1:24">
      <c r="A588" t="s">
        <v>1803</v>
      </c>
      <c r="B588" t="s">
        <v>1804</v>
      </c>
      <c r="C588" t="s">
        <v>52</v>
      </c>
      <c r="D588">
        <v>5.234</v>
      </c>
      <c r="E588">
        <v>4187</v>
      </c>
      <c r="F588">
        <v>24</v>
      </c>
      <c r="G588" t="s">
        <v>36</v>
      </c>
      <c r="H588" t="s">
        <v>1805</v>
      </c>
      <c r="I588" t="s">
        <v>29</v>
      </c>
      <c r="J588" t="s">
        <v>38</v>
      </c>
      <c r="K588" t="s">
        <v>30</v>
      </c>
      <c r="L588" t="s">
        <v>30</v>
      </c>
      <c r="M588" t="s">
        <v>97</v>
      </c>
      <c r="N588">
        <v>0</v>
      </c>
      <c r="O588">
        <v>3</v>
      </c>
      <c r="P588">
        <v>0</v>
      </c>
      <c r="Q588">
        <v>799.961788307222</v>
      </c>
      <c r="R588">
        <v>4.585403133358808</v>
      </c>
      <c r="S588">
        <v>174.4583333333333</v>
      </c>
      <c r="T588">
        <v>0</v>
      </c>
      <c r="U588">
        <v>1</v>
      </c>
      <c r="V588">
        <v>0</v>
      </c>
      <c r="W588">
        <v>8.339978571990427</v>
      </c>
      <c r="X588">
        <v>0</v>
      </c>
    </row>
    <row r="589" spans="1:24">
      <c r="A589" t="s">
        <v>1806</v>
      </c>
      <c r="B589" t="s">
        <v>1807</v>
      </c>
      <c r="C589" t="s">
        <v>26</v>
      </c>
      <c r="D589">
        <v>7.161</v>
      </c>
      <c r="E589">
        <v>2294</v>
      </c>
      <c r="F589">
        <v>22</v>
      </c>
      <c r="G589" t="s">
        <v>27</v>
      </c>
      <c r="H589" t="s">
        <v>1808</v>
      </c>
      <c r="I589" t="s">
        <v>29</v>
      </c>
      <c r="J589" t="s">
        <v>30</v>
      </c>
      <c r="K589" t="s">
        <v>31</v>
      </c>
      <c r="L589" t="s">
        <v>38</v>
      </c>
      <c r="M589" t="s">
        <v>76</v>
      </c>
      <c r="N589">
        <v>0</v>
      </c>
      <c r="O589">
        <v>3</v>
      </c>
      <c r="P589">
        <v>0</v>
      </c>
      <c r="Q589">
        <v>320.3463203463203</v>
      </c>
      <c r="R589">
        <v>3.072196620583718</v>
      </c>
      <c r="S589">
        <v>104.2727272727273</v>
      </c>
      <c r="T589">
        <v>0</v>
      </c>
      <c r="U589">
        <v>1</v>
      </c>
      <c r="V589">
        <v>0</v>
      </c>
      <c r="W589">
        <v>7.738488122494646</v>
      </c>
      <c r="X589">
        <v>0</v>
      </c>
    </row>
    <row r="590" spans="1:24">
      <c r="A590" t="s">
        <v>1809</v>
      </c>
      <c r="B590" t="s">
        <v>1810</v>
      </c>
      <c r="C590" t="s">
        <v>26</v>
      </c>
      <c r="D590">
        <v>6.85</v>
      </c>
      <c r="E590">
        <v>1671</v>
      </c>
      <c r="F590">
        <v>20</v>
      </c>
      <c r="G590" t="s">
        <v>27</v>
      </c>
      <c r="H590" t="s">
        <v>1811</v>
      </c>
      <c r="I590" t="s">
        <v>29</v>
      </c>
      <c r="J590" t="s">
        <v>30</v>
      </c>
      <c r="K590" t="s">
        <v>30</v>
      </c>
      <c r="L590" t="s">
        <v>31</v>
      </c>
      <c r="M590" t="s">
        <v>44</v>
      </c>
      <c r="N590">
        <v>1</v>
      </c>
      <c r="O590">
        <v>3</v>
      </c>
      <c r="P590">
        <v>0</v>
      </c>
      <c r="Q590">
        <v>243.9416058394161</v>
      </c>
      <c r="R590">
        <v>2.91970802919708</v>
      </c>
      <c r="S590">
        <v>83.55</v>
      </c>
      <c r="T590">
        <v>0</v>
      </c>
      <c r="U590">
        <v>1</v>
      </c>
      <c r="V590">
        <v>0</v>
      </c>
      <c r="W590">
        <v>7.421775793644647</v>
      </c>
      <c r="X590">
        <v>0</v>
      </c>
    </row>
    <row r="591" spans="1:24">
      <c r="A591" t="s">
        <v>1812</v>
      </c>
      <c r="B591" t="s">
        <v>1813</v>
      </c>
      <c r="C591" t="s">
        <v>26</v>
      </c>
      <c r="D591">
        <v>5.11</v>
      </c>
      <c r="E591">
        <v>1880</v>
      </c>
      <c r="F591">
        <v>21</v>
      </c>
      <c r="G591" t="s">
        <v>36</v>
      </c>
      <c r="H591" t="s">
        <v>1814</v>
      </c>
      <c r="I591" t="s">
        <v>29</v>
      </c>
      <c r="J591" t="s">
        <v>38</v>
      </c>
      <c r="K591" t="s">
        <v>30</v>
      </c>
      <c r="L591" t="s">
        <v>30</v>
      </c>
      <c r="M591" t="s">
        <v>97</v>
      </c>
      <c r="N591">
        <v>1</v>
      </c>
      <c r="O591">
        <v>3</v>
      </c>
      <c r="P591">
        <v>0</v>
      </c>
      <c r="Q591">
        <v>367.9060665362035</v>
      </c>
      <c r="R591">
        <v>4.10958904109589</v>
      </c>
      <c r="S591">
        <v>89.52380952380952</v>
      </c>
      <c r="T591">
        <v>0</v>
      </c>
      <c r="U591">
        <v>1</v>
      </c>
      <c r="V591">
        <v>0</v>
      </c>
      <c r="W591">
        <v>7.53955882930103</v>
      </c>
      <c r="X591">
        <v>0</v>
      </c>
    </row>
    <row r="592" spans="1:24">
      <c r="A592" t="s">
        <v>1815</v>
      </c>
      <c r="B592" t="s">
        <v>1816</v>
      </c>
      <c r="C592" t="s">
        <v>35</v>
      </c>
      <c r="D592">
        <v>0.381</v>
      </c>
      <c r="E592">
        <v>3250</v>
      </c>
      <c r="F592">
        <v>21</v>
      </c>
      <c r="G592" t="s">
        <v>27</v>
      </c>
      <c r="H592" t="s">
        <v>1817</v>
      </c>
      <c r="I592" t="s">
        <v>29</v>
      </c>
      <c r="J592" t="s">
        <v>30</v>
      </c>
      <c r="K592" t="s">
        <v>30</v>
      </c>
      <c r="L592" t="s">
        <v>38</v>
      </c>
      <c r="M592" t="s">
        <v>44</v>
      </c>
      <c r="N592">
        <v>1</v>
      </c>
      <c r="O592">
        <v>3</v>
      </c>
      <c r="P592">
        <v>0</v>
      </c>
      <c r="Q592">
        <v>8530.18372703412</v>
      </c>
      <c r="R592">
        <v>55.11811023622048</v>
      </c>
      <c r="S592">
        <v>154.7619047619048</v>
      </c>
      <c r="T592">
        <v>0</v>
      </c>
      <c r="U592">
        <v>1</v>
      </c>
      <c r="V592">
        <v>0</v>
      </c>
      <c r="W592">
        <v>8.086717920303906</v>
      </c>
      <c r="X592">
        <v>0</v>
      </c>
    </row>
    <row r="593" spans="1:24">
      <c r="A593" t="s">
        <v>1818</v>
      </c>
      <c r="B593" t="s">
        <v>1819</v>
      </c>
      <c r="C593" t="s">
        <v>26</v>
      </c>
      <c r="D593">
        <v>1.991</v>
      </c>
      <c r="E593">
        <v>2155</v>
      </c>
      <c r="F593">
        <v>14</v>
      </c>
      <c r="G593" t="s">
        <v>36</v>
      </c>
      <c r="H593" t="s">
        <v>1820</v>
      </c>
      <c r="I593" t="s">
        <v>29</v>
      </c>
      <c r="J593" t="s">
        <v>38</v>
      </c>
      <c r="K593" t="s">
        <v>38</v>
      </c>
      <c r="L593" t="s">
        <v>31</v>
      </c>
      <c r="M593" t="s">
        <v>44</v>
      </c>
      <c r="N593">
        <v>1</v>
      </c>
      <c r="O593">
        <v>3</v>
      </c>
      <c r="P593">
        <v>0</v>
      </c>
      <c r="Q593">
        <v>1082.370668006027</v>
      </c>
      <c r="R593">
        <v>7.031642390758413</v>
      </c>
      <c r="S593">
        <v>153.9285714285714</v>
      </c>
      <c r="T593">
        <v>0</v>
      </c>
      <c r="U593">
        <v>1</v>
      </c>
      <c r="V593">
        <v>0</v>
      </c>
      <c r="W593">
        <v>7.676009932028887</v>
      </c>
      <c r="X593">
        <v>0</v>
      </c>
    </row>
    <row r="594" spans="1:24">
      <c r="A594" t="s">
        <v>1821</v>
      </c>
      <c r="B594" t="s">
        <v>1822</v>
      </c>
      <c r="C594" t="s">
        <v>35</v>
      </c>
      <c r="D594">
        <v>2.195</v>
      </c>
      <c r="E594">
        <v>1636</v>
      </c>
      <c r="F594">
        <v>16</v>
      </c>
      <c r="G594" t="s">
        <v>62</v>
      </c>
      <c r="H594" t="s">
        <v>1823</v>
      </c>
      <c r="I594" t="s">
        <v>29</v>
      </c>
      <c r="J594" t="s">
        <v>30</v>
      </c>
      <c r="K594" t="s">
        <v>30</v>
      </c>
      <c r="L594" t="s">
        <v>31</v>
      </c>
      <c r="M594" t="s">
        <v>83</v>
      </c>
      <c r="N594">
        <v>1</v>
      </c>
      <c r="O594">
        <v>3</v>
      </c>
      <c r="P594">
        <v>0</v>
      </c>
      <c r="Q594">
        <v>745.3302961275627</v>
      </c>
      <c r="R594">
        <v>7.289293849658315</v>
      </c>
      <c r="S594">
        <v>102.25</v>
      </c>
      <c r="T594">
        <v>0</v>
      </c>
      <c r="U594">
        <v>1</v>
      </c>
      <c r="V594">
        <v>0</v>
      </c>
      <c r="W594">
        <v>7.400620577371135</v>
      </c>
      <c r="X594">
        <v>0</v>
      </c>
    </row>
    <row r="595" spans="1:24">
      <c r="A595" t="s">
        <v>1824</v>
      </c>
      <c r="B595" t="s">
        <v>1825</v>
      </c>
      <c r="C595" t="s">
        <v>26</v>
      </c>
      <c r="D595">
        <v>1.859</v>
      </c>
      <c r="E595">
        <v>7191</v>
      </c>
      <c r="F595">
        <v>18</v>
      </c>
      <c r="G595" t="s">
        <v>47</v>
      </c>
      <c r="H595" t="s">
        <v>1826</v>
      </c>
      <c r="I595" t="s">
        <v>29</v>
      </c>
      <c r="J595" t="s">
        <v>31</v>
      </c>
      <c r="K595" t="s">
        <v>31</v>
      </c>
      <c r="L595" t="s">
        <v>31</v>
      </c>
      <c r="M595" t="s">
        <v>44</v>
      </c>
      <c r="N595">
        <v>1</v>
      </c>
      <c r="O595">
        <v>3</v>
      </c>
      <c r="P595">
        <v>0</v>
      </c>
      <c r="Q595">
        <v>3868.20871436256</v>
      </c>
      <c r="R595">
        <v>9.682625067240451</v>
      </c>
      <c r="S595">
        <v>399.5</v>
      </c>
      <c r="T595">
        <v>0</v>
      </c>
      <c r="U595">
        <v>1</v>
      </c>
      <c r="V595">
        <v>0</v>
      </c>
      <c r="W595">
        <v>8.880724576151456</v>
      </c>
      <c r="X595">
        <v>0</v>
      </c>
    </row>
    <row r="596" spans="1:24">
      <c r="A596" t="s">
        <v>1827</v>
      </c>
      <c r="B596" t="s">
        <v>1828</v>
      </c>
      <c r="C596" t="s">
        <v>130</v>
      </c>
      <c r="D596">
        <v>2.587</v>
      </c>
      <c r="E596">
        <v>10241</v>
      </c>
      <c r="F596">
        <v>12</v>
      </c>
      <c r="G596" t="s">
        <v>36</v>
      </c>
      <c r="H596" t="s">
        <v>1829</v>
      </c>
      <c r="I596" t="s">
        <v>29</v>
      </c>
      <c r="J596" t="s">
        <v>38</v>
      </c>
      <c r="K596" t="s">
        <v>30</v>
      </c>
      <c r="L596" t="s">
        <v>31</v>
      </c>
      <c r="M596" t="s">
        <v>44</v>
      </c>
      <c r="N596">
        <v>1</v>
      </c>
      <c r="O596">
        <v>3</v>
      </c>
      <c r="P596">
        <v>0</v>
      </c>
      <c r="Q596">
        <v>3958.639350599149</v>
      </c>
      <c r="R596">
        <v>4.638577502899111</v>
      </c>
      <c r="S596">
        <v>853.4166666666666</v>
      </c>
      <c r="T596">
        <v>0</v>
      </c>
      <c r="U596">
        <v>1</v>
      </c>
      <c r="V596">
        <v>1</v>
      </c>
      <c r="W596">
        <v>9.234252192022495</v>
      </c>
      <c r="X596">
        <v>0</v>
      </c>
    </row>
    <row r="597" spans="1:24">
      <c r="A597" t="s">
        <v>1830</v>
      </c>
      <c r="B597" t="s">
        <v>1831</v>
      </c>
      <c r="C597" t="s">
        <v>35</v>
      </c>
      <c r="D597">
        <v>1.696</v>
      </c>
      <c r="E597">
        <v>2124</v>
      </c>
      <c r="F597">
        <v>16</v>
      </c>
      <c r="G597" t="s">
        <v>36</v>
      </c>
      <c r="H597" t="s">
        <v>1832</v>
      </c>
      <c r="I597" t="s">
        <v>29</v>
      </c>
      <c r="J597" t="s">
        <v>38</v>
      </c>
      <c r="K597" t="s">
        <v>30</v>
      </c>
      <c r="L597" t="s">
        <v>38</v>
      </c>
      <c r="M597" t="s">
        <v>32</v>
      </c>
      <c r="N597">
        <v>1</v>
      </c>
      <c r="O597">
        <v>3</v>
      </c>
      <c r="P597">
        <v>0</v>
      </c>
      <c r="Q597">
        <v>1252.358490566038</v>
      </c>
      <c r="R597">
        <v>9.433962264150944</v>
      </c>
      <c r="S597">
        <v>132.75</v>
      </c>
      <c r="T597">
        <v>0</v>
      </c>
      <c r="U597">
        <v>1</v>
      </c>
      <c r="V597">
        <v>0</v>
      </c>
      <c r="W597">
        <v>7.661527081358517</v>
      </c>
      <c r="X597">
        <v>0</v>
      </c>
    </row>
    <row r="598" spans="1:24">
      <c r="A598" t="s">
        <v>1833</v>
      </c>
      <c r="B598" t="s">
        <v>1834</v>
      </c>
      <c r="C598" t="s">
        <v>52</v>
      </c>
      <c r="D598">
        <v>5.566</v>
      </c>
      <c r="E598">
        <v>4174</v>
      </c>
      <c r="F598">
        <v>18</v>
      </c>
      <c r="G598" t="s">
        <v>62</v>
      </c>
      <c r="H598" t="s">
        <v>1835</v>
      </c>
      <c r="I598" t="s">
        <v>29</v>
      </c>
      <c r="J598" t="s">
        <v>30</v>
      </c>
      <c r="K598" t="s">
        <v>30</v>
      </c>
      <c r="L598" t="s">
        <v>31</v>
      </c>
      <c r="M598" t="s">
        <v>76</v>
      </c>
      <c r="N598">
        <v>1</v>
      </c>
      <c r="O598">
        <v>3</v>
      </c>
      <c r="P598">
        <v>0</v>
      </c>
      <c r="Q598">
        <v>749.9101688825009</v>
      </c>
      <c r="R598">
        <v>3.233920229967661</v>
      </c>
      <c r="S598">
        <v>231.8888888888889</v>
      </c>
      <c r="T598">
        <v>0</v>
      </c>
      <c r="U598">
        <v>1</v>
      </c>
      <c r="V598">
        <v>0</v>
      </c>
      <c r="W598">
        <v>8.336869637284956</v>
      </c>
      <c r="X598">
        <v>0</v>
      </c>
    </row>
    <row r="599" spans="1:24">
      <c r="A599" t="s">
        <v>1836</v>
      </c>
      <c r="B599" t="s">
        <v>1837</v>
      </c>
      <c r="C599" t="s">
        <v>35</v>
      </c>
      <c r="D599">
        <v>3.416</v>
      </c>
      <c r="E599">
        <v>17404</v>
      </c>
      <c r="F599">
        <v>25</v>
      </c>
      <c r="G599" t="s">
        <v>36</v>
      </c>
      <c r="H599" t="s">
        <v>1838</v>
      </c>
      <c r="I599" t="s">
        <v>29</v>
      </c>
      <c r="J599" t="s">
        <v>38</v>
      </c>
      <c r="K599" t="s">
        <v>38</v>
      </c>
      <c r="L599" t="s">
        <v>31</v>
      </c>
      <c r="M599" t="s">
        <v>44</v>
      </c>
      <c r="N599">
        <v>1</v>
      </c>
      <c r="O599">
        <v>3</v>
      </c>
      <c r="P599">
        <v>0</v>
      </c>
      <c r="Q599">
        <v>5094.847775175645</v>
      </c>
      <c r="R599">
        <v>7.318501170960188</v>
      </c>
      <c r="S599">
        <v>696.16</v>
      </c>
      <c r="T599">
        <v>0</v>
      </c>
      <c r="U599">
        <v>1</v>
      </c>
      <c r="V599">
        <v>1</v>
      </c>
      <c r="W599">
        <v>9.764512800245541</v>
      </c>
      <c r="X599">
        <v>0</v>
      </c>
    </row>
    <row r="600" spans="1:24">
      <c r="A600" t="s">
        <v>1839</v>
      </c>
      <c r="B600" t="s">
        <v>1840</v>
      </c>
      <c r="C600" t="s">
        <v>35</v>
      </c>
      <c r="D600">
        <v>3.14</v>
      </c>
      <c r="E600">
        <v>510</v>
      </c>
      <c r="F600">
        <v>15</v>
      </c>
      <c r="G600" t="s">
        <v>36</v>
      </c>
      <c r="H600" t="s">
        <v>1841</v>
      </c>
      <c r="I600" t="s">
        <v>29</v>
      </c>
      <c r="J600" t="s">
        <v>38</v>
      </c>
      <c r="K600" t="s">
        <v>31</v>
      </c>
      <c r="L600" t="s">
        <v>31</v>
      </c>
      <c r="M600" t="s">
        <v>97</v>
      </c>
      <c r="N600">
        <v>1</v>
      </c>
      <c r="O600">
        <v>3</v>
      </c>
      <c r="P600">
        <v>0</v>
      </c>
      <c r="Q600">
        <v>162.4203821656051</v>
      </c>
      <c r="R600">
        <v>4.777070063694267</v>
      </c>
      <c r="S600">
        <v>34</v>
      </c>
      <c r="T600">
        <v>0</v>
      </c>
      <c r="U600">
        <v>1</v>
      </c>
      <c r="V600">
        <v>0</v>
      </c>
      <c r="W600">
        <v>6.236369590203704</v>
      </c>
      <c r="X600">
        <v>0</v>
      </c>
    </row>
    <row r="601" spans="1:24">
      <c r="A601" t="s">
        <v>1842</v>
      </c>
      <c r="B601" t="s">
        <v>1843</v>
      </c>
      <c r="C601" t="s">
        <v>35</v>
      </c>
      <c r="D601">
        <v>0.076</v>
      </c>
      <c r="E601">
        <v>8228</v>
      </c>
      <c r="F601">
        <v>20</v>
      </c>
      <c r="G601" t="s">
        <v>36</v>
      </c>
      <c r="H601" t="s">
        <v>1844</v>
      </c>
      <c r="I601" t="s">
        <v>29</v>
      </c>
      <c r="J601" t="s">
        <v>38</v>
      </c>
      <c r="K601" t="s">
        <v>30</v>
      </c>
      <c r="L601" t="s">
        <v>31</v>
      </c>
      <c r="M601" t="s">
        <v>83</v>
      </c>
      <c r="N601">
        <v>1</v>
      </c>
      <c r="O601">
        <v>3</v>
      </c>
      <c r="P601">
        <v>0</v>
      </c>
      <c r="Q601">
        <v>108263.1578947368</v>
      </c>
      <c r="R601">
        <v>263.1578947368421</v>
      </c>
      <c r="S601">
        <v>411.4</v>
      </c>
      <c r="T601">
        <v>0</v>
      </c>
      <c r="U601">
        <v>1</v>
      </c>
      <c r="V601">
        <v>0</v>
      </c>
      <c r="W601">
        <v>9.015419779605711</v>
      </c>
      <c r="X601">
        <v>0</v>
      </c>
    </row>
    <row r="602" spans="1:24">
      <c r="A602" t="s">
        <v>1845</v>
      </c>
      <c r="B602" t="s">
        <v>1846</v>
      </c>
      <c r="C602" t="s">
        <v>35</v>
      </c>
      <c r="D602">
        <v>7.484</v>
      </c>
      <c r="E602">
        <v>1648</v>
      </c>
      <c r="F602">
        <v>18</v>
      </c>
      <c r="G602" t="s">
        <v>62</v>
      </c>
      <c r="H602" t="s">
        <v>1847</v>
      </c>
      <c r="I602" t="s">
        <v>29</v>
      </c>
      <c r="J602" t="s">
        <v>30</v>
      </c>
      <c r="K602" t="s">
        <v>30</v>
      </c>
      <c r="L602" t="s">
        <v>31</v>
      </c>
      <c r="M602" t="s">
        <v>44</v>
      </c>
      <c r="N602">
        <v>2</v>
      </c>
      <c r="O602">
        <v>3</v>
      </c>
      <c r="P602">
        <v>1</v>
      </c>
      <c r="Q602">
        <v>220.2030999465526</v>
      </c>
      <c r="R602">
        <v>2.405130946018172</v>
      </c>
      <c r="S602">
        <v>91.55555555555556</v>
      </c>
      <c r="T602">
        <v>0</v>
      </c>
      <c r="U602">
        <v>1</v>
      </c>
      <c r="V602">
        <v>0</v>
      </c>
      <c r="W602">
        <v>7.407924322559599</v>
      </c>
      <c r="X602">
        <v>0</v>
      </c>
    </row>
    <row r="603" spans="1:24">
      <c r="A603" t="s">
        <v>1848</v>
      </c>
      <c r="B603" t="s">
        <v>1849</v>
      </c>
      <c r="C603" t="s">
        <v>26</v>
      </c>
      <c r="D603">
        <v>1.655</v>
      </c>
      <c r="E603">
        <v>536</v>
      </c>
      <c r="F603">
        <v>14</v>
      </c>
      <c r="G603" t="s">
        <v>62</v>
      </c>
      <c r="H603" t="s">
        <v>1850</v>
      </c>
      <c r="I603" t="s">
        <v>29</v>
      </c>
      <c r="J603" t="s">
        <v>30</v>
      </c>
      <c r="K603" t="s">
        <v>30</v>
      </c>
      <c r="L603" t="s">
        <v>38</v>
      </c>
      <c r="M603" t="s">
        <v>76</v>
      </c>
      <c r="N603">
        <v>2</v>
      </c>
      <c r="O603">
        <v>3</v>
      </c>
      <c r="P603">
        <v>1</v>
      </c>
      <c r="Q603">
        <v>323.8670694864048</v>
      </c>
      <c r="R603">
        <v>8.459214501510575</v>
      </c>
      <c r="S603">
        <v>38.28571428571428</v>
      </c>
      <c r="T603">
        <v>0</v>
      </c>
      <c r="U603">
        <v>1</v>
      </c>
      <c r="V603">
        <v>0</v>
      </c>
      <c r="W603">
        <v>6.285998094508865</v>
      </c>
      <c r="X603">
        <v>0</v>
      </c>
    </row>
    <row r="604" spans="1:24">
      <c r="A604" t="s">
        <v>1851</v>
      </c>
      <c r="B604" t="s">
        <v>1852</v>
      </c>
      <c r="C604" t="s">
        <v>26</v>
      </c>
      <c r="D604">
        <v>3.732</v>
      </c>
      <c r="E604">
        <v>902</v>
      </c>
      <c r="F604">
        <v>14</v>
      </c>
      <c r="G604" t="s">
        <v>27</v>
      </c>
      <c r="H604" t="s">
        <v>1853</v>
      </c>
      <c r="I604" t="s">
        <v>29</v>
      </c>
      <c r="J604" t="s">
        <v>30</v>
      </c>
      <c r="K604" t="s">
        <v>30</v>
      </c>
      <c r="L604" t="s">
        <v>30</v>
      </c>
      <c r="M604" t="s">
        <v>44</v>
      </c>
      <c r="N604">
        <v>2</v>
      </c>
      <c r="O604">
        <v>3</v>
      </c>
      <c r="P604">
        <v>1</v>
      </c>
      <c r="Q604">
        <v>241.6934619506967</v>
      </c>
      <c r="R604">
        <v>3.751339764201501</v>
      </c>
      <c r="S604">
        <v>64.42857142857143</v>
      </c>
      <c r="T604">
        <v>0</v>
      </c>
      <c r="U604">
        <v>1</v>
      </c>
      <c r="V604">
        <v>0</v>
      </c>
      <c r="W604">
        <v>6.805722553416985</v>
      </c>
      <c r="X604">
        <v>0</v>
      </c>
    </row>
    <row r="605" spans="1:24">
      <c r="A605" t="s">
        <v>1854</v>
      </c>
      <c r="B605" t="s">
        <v>1855</v>
      </c>
      <c r="C605" t="s">
        <v>26</v>
      </c>
      <c r="D605">
        <v>5.381</v>
      </c>
      <c r="E605">
        <v>3821</v>
      </c>
      <c r="F605">
        <v>23</v>
      </c>
      <c r="G605" t="s">
        <v>36</v>
      </c>
      <c r="H605" t="s">
        <v>1856</v>
      </c>
      <c r="I605" t="s">
        <v>29</v>
      </c>
      <c r="J605" t="s">
        <v>38</v>
      </c>
      <c r="K605" t="s">
        <v>38</v>
      </c>
      <c r="L605" t="s">
        <v>30</v>
      </c>
      <c r="M605" t="s">
        <v>44</v>
      </c>
      <c r="N605">
        <v>2</v>
      </c>
      <c r="O605">
        <v>3</v>
      </c>
      <c r="P605">
        <v>1</v>
      </c>
      <c r="Q605">
        <v>710.0910611410518</v>
      </c>
      <c r="R605">
        <v>4.274298457535774</v>
      </c>
      <c r="S605">
        <v>166.1304347826087</v>
      </c>
      <c r="T605">
        <v>0</v>
      </c>
      <c r="U605">
        <v>1</v>
      </c>
      <c r="V605">
        <v>0</v>
      </c>
      <c r="W605">
        <v>8.248529124800218</v>
      </c>
      <c r="X605">
        <v>0</v>
      </c>
    </row>
    <row r="606" spans="1:24">
      <c r="A606" t="s">
        <v>1857</v>
      </c>
      <c r="B606" t="s">
        <v>1858</v>
      </c>
      <c r="C606" t="s">
        <v>35</v>
      </c>
      <c r="D606">
        <v>3.965</v>
      </c>
      <c r="E606">
        <v>36192</v>
      </c>
      <c r="F606">
        <v>187</v>
      </c>
      <c r="G606" t="s">
        <v>36</v>
      </c>
      <c r="H606" t="s">
        <v>1859</v>
      </c>
      <c r="I606" t="s">
        <v>49</v>
      </c>
      <c r="J606" t="s">
        <v>38</v>
      </c>
      <c r="K606" t="s">
        <v>30</v>
      </c>
      <c r="L606" t="s">
        <v>31</v>
      </c>
      <c r="M606" t="s">
        <v>44</v>
      </c>
      <c r="N606">
        <v>2</v>
      </c>
      <c r="O606">
        <v>3</v>
      </c>
      <c r="P606">
        <v>1</v>
      </c>
      <c r="Q606">
        <v>9127.868852459016</v>
      </c>
      <c r="R606">
        <v>47.16267339218159</v>
      </c>
      <c r="S606">
        <v>193.5401069518716</v>
      </c>
      <c r="T606">
        <v>0</v>
      </c>
      <c r="U606">
        <v>1</v>
      </c>
      <c r="V606">
        <v>1</v>
      </c>
      <c r="W606">
        <v>10.4966210089497</v>
      </c>
      <c r="X606">
        <v>1</v>
      </c>
    </row>
    <row r="607" spans="1:24">
      <c r="A607" t="s">
        <v>1860</v>
      </c>
      <c r="B607" t="s">
        <v>1861</v>
      </c>
      <c r="C607" t="s">
        <v>26</v>
      </c>
      <c r="D607">
        <v>3.058</v>
      </c>
      <c r="E607">
        <v>1773</v>
      </c>
      <c r="F607">
        <v>24</v>
      </c>
      <c r="G607" t="s">
        <v>27</v>
      </c>
      <c r="H607" t="s">
        <v>1862</v>
      </c>
      <c r="I607" t="s">
        <v>29</v>
      </c>
      <c r="J607" t="s">
        <v>30</v>
      </c>
      <c r="K607" t="s">
        <v>30</v>
      </c>
      <c r="L607" t="s">
        <v>38</v>
      </c>
      <c r="M607" t="s">
        <v>76</v>
      </c>
      <c r="N607">
        <v>2</v>
      </c>
      <c r="O607">
        <v>3</v>
      </c>
      <c r="P607">
        <v>1</v>
      </c>
      <c r="Q607">
        <v>579.7907128842381</v>
      </c>
      <c r="R607">
        <v>7.848266841072597</v>
      </c>
      <c r="S607">
        <v>73.875</v>
      </c>
      <c r="T607">
        <v>0</v>
      </c>
      <c r="U607">
        <v>1</v>
      </c>
      <c r="V607">
        <v>0</v>
      </c>
      <c r="W607">
        <v>7.480992162869525</v>
      </c>
      <c r="X607">
        <v>0</v>
      </c>
    </row>
    <row r="608" spans="1:24">
      <c r="A608" t="s">
        <v>1863</v>
      </c>
      <c r="B608" t="s">
        <v>1864</v>
      </c>
      <c r="C608" t="s">
        <v>130</v>
      </c>
      <c r="D608">
        <v>2.969</v>
      </c>
      <c r="E608">
        <v>27801</v>
      </c>
      <c r="F608">
        <v>52</v>
      </c>
      <c r="G608" t="s">
        <v>47</v>
      </c>
      <c r="H608" t="s">
        <v>1865</v>
      </c>
      <c r="I608" t="s">
        <v>49</v>
      </c>
      <c r="J608" t="s">
        <v>31</v>
      </c>
      <c r="K608" t="s">
        <v>31</v>
      </c>
      <c r="L608" t="s">
        <v>30</v>
      </c>
      <c r="M608" t="s">
        <v>97</v>
      </c>
      <c r="N608">
        <v>2</v>
      </c>
      <c r="O608">
        <v>3</v>
      </c>
      <c r="P608">
        <v>1</v>
      </c>
      <c r="Q608">
        <v>9363.758841360728</v>
      </c>
      <c r="R608">
        <v>17.51431458403503</v>
      </c>
      <c r="S608">
        <v>534.6346153846154</v>
      </c>
      <c r="T608">
        <v>0</v>
      </c>
      <c r="U608">
        <v>1</v>
      </c>
      <c r="V608">
        <v>1</v>
      </c>
      <c r="W608">
        <v>10.23286323953704</v>
      </c>
      <c r="X608">
        <v>1</v>
      </c>
    </row>
    <row r="609" spans="1:24">
      <c r="A609" t="s">
        <v>1866</v>
      </c>
      <c r="B609" t="s">
        <v>1867</v>
      </c>
      <c r="C609" t="s">
        <v>35</v>
      </c>
      <c r="D609">
        <v>6.13</v>
      </c>
      <c r="E609">
        <v>1019</v>
      </c>
      <c r="F609">
        <v>12</v>
      </c>
      <c r="G609" t="s">
        <v>47</v>
      </c>
      <c r="H609" t="s">
        <v>1868</v>
      </c>
      <c r="I609" t="s">
        <v>29</v>
      </c>
      <c r="J609" t="s">
        <v>31</v>
      </c>
      <c r="K609" t="s">
        <v>31</v>
      </c>
      <c r="L609" t="s">
        <v>31</v>
      </c>
      <c r="M609" t="s">
        <v>76</v>
      </c>
      <c r="N609">
        <v>2</v>
      </c>
      <c r="O609">
        <v>3</v>
      </c>
      <c r="P609">
        <v>1</v>
      </c>
      <c r="Q609">
        <v>166.231647634584</v>
      </c>
      <c r="R609">
        <v>1.957585644371941</v>
      </c>
      <c r="S609">
        <v>84.91666666666667</v>
      </c>
      <c r="T609">
        <v>0</v>
      </c>
      <c r="U609">
        <v>1</v>
      </c>
      <c r="V609">
        <v>0</v>
      </c>
      <c r="W609">
        <v>6.927557906278317</v>
      </c>
      <c r="X609">
        <v>0</v>
      </c>
    </row>
    <row r="610" spans="1:24">
      <c r="A610" t="s">
        <v>1869</v>
      </c>
      <c r="B610" t="s">
        <v>1870</v>
      </c>
      <c r="C610" t="s">
        <v>35</v>
      </c>
      <c r="D610">
        <v>0.034</v>
      </c>
      <c r="E610">
        <v>1743</v>
      </c>
      <c r="F610">
        <v>2</v>
      </c>
      <c r="G610" t="s">
        <v>27</v>
      </c>
      <c r="H610" t="s">
        <v>1871</v>
      </c>
      <c r="I610" t="s">
        <v>90</v>
      </c>
      <c r="J610" t="s">
        <v>30</v>
      </c>
      <c r="K610" t="s">
        <v>30</v>
      </c>
      <c r="L610" t="s">
        <v>30</v>
      </c>
      <c r="M610" t="s">
        <v>44</v>
      </c>
      <c r="N610">
        <v>2</v>
      </c>
      <c r="O610">
        <v>3</v>
      </c>
      <c r="P610">
        <v>1</v>
      </c>
      <c r="Q610">
        <v>51264.70588235294</v>
      </c>
      <c r="R610">
        <v>58.8235294117647</v>
      </c>
      <c r="S610">
        <v>871.5</v>
      </c>
      <c r="T610">
        <v>0</v>
      </c>
      <c r="U610">
        <v>1</v>
      </c>
      <c r="V610">
        <v>0</v>
      </c>
      <c r="W610">
        <v>7.463936604468925</v>
      </c>
      <c r="X610">
        <v>1</v>
      </c>
    </row>
    <row r="611" spans="1:24">
      <c r="A611" t="s">
        <v>1872</v>
      </c>
      <c r="B611" t="s">
        <v>1873</v>
      </c>
      <c r="C611" t="s">
        <v>26</v>
      </c>
      <c r="D611">
        <v>3.681</v>
      </c>
      <c r="E611">
        <v>301</v>
      </c>
      <c r="F611">
        <v>12</v>
      </c>
      <c r="G611" t="s">
        <v>36</v>
      </c>
      <c r="H611" t="s">
        <v>1874</v>
      </c>
      <c r="I611" t="s">
        <v>29</v>
      </c>
      <c r="J611" t="s">
        <v>38</v>
      </c>
      <c r="K611" t="s">
        <v>31</v>
      </c>
      <c r="L611" t="s">
        <v>31</v>
      </c>
      <c r="M611" t="s">
        <v>44</v>
      </c>
      <c r="N611">
        <v>2</v>
      </c>
      <c r="O611">
        <v>3</v>
      </c>
      <c r="P611">
        <v>1</v>
      </c>
      <c r="Q611">
        <v>81.77125781037762</v>
      </c>
      <c r="R611">
        <v>3.2599837000815</v>
      </c>
      <c r="S611">
        <v>25.08333333333333</v>
      </c>
      <c r="T611">
        <v>0</v>
      </c>
      <c r="U611">
        <v>1</v>
      </c>
      <c r="V611">
        <v>0</v>
      </c>
      <c r="W611">
        <v>5.71042701737487</v>
      </c>
      <c r="X611">
        <v>0</v>
      </c>
    </row>
    <row r="612" spans="1:24">
      <c r="A612" t="s">
        <v>1875</v>
      </c>
      <c r="B612" t="s">
        <v>1876</v>
      </c>
      <c r="C612" t="s">
        <v>35</v>
      </c>
      <c r="D612">
        <v>9.119</v>
      </c>
      <c r="E612">
        <v>17048</v>
      </c>
      <c r="F612">
        <v>22</v>
      </c>
      <c r="G612" t="s">
        <v>27</v>
      </c>
      <c r="H612" t="s">
        <v>1877</v>
      </c>
      <c r="I612" t="s">
        <v>29</v>
      </c>
      <c r="J612" t="s">
        <v>30</v>
      </c>
      <c r="K612" t="s">
        <v>31</v>
      </c>
      <c r="L612" t="s">
        <v>31</v>
      </c>
      <c r="M612" t="s">
        <v>44</v>
      </c>
      <c r="N612">
        <v>2</v>
      </c>
      <c r="O612">
        <v>3</v>
      </c>
      <c r="P612">
        <v>1</v>
      </c>
      <c r="Q612">
        <v>1869.503235003838</v>
      </c>
      <c r="R612">
        <v>2.412545235223161</v>
      </c>
      <c r="S612">
        <v>774.9090909090909</v>
      </c>
      <c r="T612">
        <v>0</v>
      </c>
      <c r="U612">
        <v>1</v>
      </c>
      <c r="V612">
        <v>1</v>
      </c>
      <c r="W612">
        <v>9.74384682996523</v>
      </c>
      <c r="X612">
        <v>0</v>
      </c>
    </row>
    <row r="613" spans="1:24">
      <c r="A613" t="s">
        <v>1878</v>
      </c>
      <c r="B613" t="s">
        <v>1879</v>
      </c>
      <c r="C613" t="s">
        <v>26</v>
      </c>
      <c r="D613">
        <v>2.807</v>
      </c>
      <c r="E613">
        <v>2399</v>
      </c>
      <c r="F613">
        <v>10</v>
      </c>
      <c r="G613" t="s">
        <v>27</v>
      </c>
      <c r="H613" t="s">
        <v>1880</v>
      </c>
      <c r="I613" t="s">
        <v>29</v>
      </c>
      <c r="J613" t="s">
        <v>30</v>
      </c>
      <c r="K613" t="s">
        <v>30</v>
      </c>
      <c r="L613" t="s">
        <v>38</v>
      </c>
      <c r="M613" t="s">
        <v>39</v>
      </c>
      <c r="N613">
        <v>2</v>
      </c>
      <c r="O613">
        <v>3</v>
      </c>
      <c r="P613">
        <v>1</v>
      </c>
      <c r="Q613">
        <v>854.6490915568222</v>
      </c>
      <c r="R613">
        <v>3.562522265764161</v>
      </c>
      <c r="S613">
        <v>239.9</v>
      </c>
      <c r="T613">
        <v>0</v>
      </c>
      <c r="U613">
        <v>1</v>
      </c>
      <c r="V613">
        <v>0</v>
      </c>
      <c r="W613">
        <v>7.783224016336037</v>
      </c>
      <c r="X613">
        <v>0</v>
      </c>
    </row>
    <row r="614" spans="1:24">
      <c r="A614" t="s">
        <v>1881</v>
      </c>
      <c r="B614" t="s">
        <v>1882</v>
      </c>
      <c r="C614" t="s">
        <v>26</v>
      </c>
      <c r="D614">
        <v>8.109</v>
      </c>
      <c r="E614">
        <v>3166</v>
      </c>
      <c r="F614">
        <v>13</v>
      </c>
      <c r="G614" t="s">
        <v>47</v>
      </c>
      <c r="H614" t="s">
        <v>1883</v>
      </c>
      <c r="I614" t="s">
        <v>29</v>
      </c>
      <c r="J614" t="s">
        <v>31</v>
      </c>
      <c r="K614" t="s">
        <v>31</v>
      </c>
      <c r="L614" t="s">
        <v>38</v>
      </c>
      <c r="M614" t="s">
        <v>97</v>
      </c>
      <c r="N614">
        <v>3</v>
      </c>
      <c r="O614">
        <v>3</v>
      </c>
      <c r="P614">
        <v>1</v>
      </c>
      <c r="Q614">
        <v>390.4303859908744</v>
      </c>
      <c r="R614">
        <v>1.603156986064866</v>
      </c>
      <c r="S614">
        <v>243.5384615384615</v>
      </c>
      <c r="T614">
        <v>0</v>
      </c>
      <c r="U614">
        <v>1</v>
      </c>
      <c r="V614">
        <v>0</v>
      </c>
      <c r="W614">
        <v>8.060540046538639</v>
      </c>
      <c r="X614">
        <v>0</v>
      </c>
    </row>
    <row r="615" spans="1:24">
      <c r="A615" t="s">
        <v>1884</v>
      </c>
      <c r="B615" t="s">
        <v>1885</v>
      </c>
      <c r="C615" t="s">
        <v>26</v>
      </c>
      <c r="D615">
        <v>0.081</v>
      </c>
      <c r="E615">
        <v>11638</v>
      </c>
      <c r="F615">
        <v>88</v>
      </c>
      <c r="G615" t="s">
        <v>62</v>
      </c>
      <c r="H615" t="s">
        <v>1886</v>
      </c>
      <c r="I615" t="s">
        <v>49</v>
      </c>
      <c r="J615" t="s">
        <v>30</v>
      </c>
      <c r="K615" t="s">
        <v>31</v>
      </c>
      <c r="L615" t="s">
        <v>30</v>
      </c>
      <c r="M615" t="s">
        <v>97</v>
      </c>
      <c r="N615">
        <v>3</v>
      </c>
      <c r="O615">
        <v>3</v>
      </c>
      <c r="P615">
        <v>1</v>
      </c>
      <c r="Q615">
        <v>143679.012345679</v>
      </c>
      <c r="R615">
        <v>1086.41975308642</v>
      </c>
      <c r="S615">
        <v>132.25</v>
      </c>
      <c r="T615">
        <v>0</v>
      </c>
      <c r="U615">
        <v>1</v>
      </c>
      <c r="V615">
        <v>1</v>
      </c>
      <c r="W615">
        <v>9.362116806941977</v>
      </c>
      <c r="X615">
        <v>1</v>
      </c>
    </row>
    <row r="616" spans="1:24">
      <c r="A616" t="s">
        <v>1887</v>
      </c>
      <c r="B616" t="s">
        <v>1888</v>
      </c>
      <c r="C616" t="s">
        <v>26</v>
      </c>
      <c r="D616">
        <v>5.279</v>
      </c>
      <c r="E616">
        <v>606</v>
      </c>
      <c r="F616">
        <v>9</v>
      </c>
      <c r="G616" t="s">
        <v>47</v>
      </c>
      <c r="H616" t="s">
        <v>1889</v>
      </c>
      <c r="I616" t="s">
        <v>29</v>
      </c>
      <c r="J616" t="s">
        <v>31</v>
      </c>
      <c r="K616" t="s">
        <v>30</v>
      </c>
      <c r="L616" t="s">
        <v>30</v>
      </c>
      <c r="M616" t="s">
        <v>76</v>
      </c>
      <c r="N616">
        <v>3</v>
      </c>
      <c r="O616">
        <v>3</v>
      </c>
      <c r="P616">
        <v>1</v>
      </c>
      <c r="Q616">
        <v>114.7944686493654</v>
      </c>
      <c r="R616">
        <v>1.704868346277704</v>
      </c>
      <c r="S616">
        <v>67.33333333333333</v>
      </c>
      <c r="T616">
        <v>0</v>
      </c>
      <c r="U616">
        <v>1</v>
      </c>
      <c r="V616">
        <v>0</v>
      </c>
      <c r="W616">
        <v>6.408528791059498</v>
      </c>
      <c r="X616">
        <v>0</v>
      </c>
    </row>
    <row r="617" spans="1:24">
      <c r="A617" t="s">
        <v>1890</v>
      </c>
      <c r="B617" t="s">
        <v>1891</v>
      </c>
      <c r="C617" t="s">
        <v>26</v>
      </c>
      <c r="D617">
        <v>4.858</v>
      </c>
      <c r="E617">
        <v>4858</v>
      </c>
      <c r="F617">
        <v>17</v>
      </c>
      <c r="G617" t="s">
        <v>27</v>
      </c>
      <c r="H617" t="s">
        <v>1892</v>
      </c>
      <c r="I617" t="s">
        <v>29</v>
      </c>
      <c r="J617" t="s">
        <v>30</v>
      </c>
      <c r="K617" t="s">
        <v>30</v>
      </c>
      <c r="L617" t="s">
        <v>30</v>
      </c>
      <c r="M617" t="s">
        <v>97</v>
      </c>
      <c r="N617">
        <v>3</v>
      </c>
      <c r="O617">
        <v>3</v>
      </c>
      <c r="P617">
        <v>1</v>
      </c>
      <c r="Q617">
        <v>1000</v>
      </c>
      <c r="R617">
        <v>3.499382461918485</v>
      </c>
      <c r="S617">
        <v>285.7647058823529</v>
      </c>
      <c r="T617">
        <v>0</v>
      </c>
      <c r="U617">
        <v>1</v>
      </c>
      <c r="V617">
        <v>0</v>
      </c>
      <c r="W617">
        <v>8.488587934405903</v>
      </c>
      <c r="X617">
        <v>0</v>
      </c>
    </row>
    <row r="618" spans="1:24">
      <c r="A618" t="s">
        <v>1893</v>
      </c>
      <c r="B618" t="s">
        <v>1894</v>
      </c>
      <c r="C618" t="s">
        <v>26</v>
      </c>
      <c r="D618">
        <v>3.068</v>
      </c>
      <c r="E618">
        <v>852</v>
      </c>
      <c r="F618">
        <v>15</v>
      </c>
      <c r="G618" t="s">
        <v>36</v>
      </c>
      <c r="H618" t="s">
        <v>1895</v>
      </c>
      <c r="I618" t="s">
        <v>29</v>
      </c>
      <c r="J618" t="s">
        <v>38</v>
      </c>
      <c r="K618" t="s">
        <v>30</v>
      </c>
      <c r="L618" t="s">
        <v>31</v>
      </c>
      <c r="M618" t="s">
        <v>39</v>
      </c>
      <c r="N618">
        <v>3</v>
      </c>
      <c r="O618">
        <v>3</v>
      </c>
      <c r="P618">
        <v>1</v>
      </c>
      <c r="Q618">
        <v>277.7053455019557</v>
      </c>
      <c r="R618">
        <v>4.889178617992177</v>
      </c>
      <c r="S618">
        <v>56.8</v>
      </c>
      <c r="T618">
        <v>0</v>
      </c>
      <c r="U618">
        <v>1</v>
      </c>
      <c r="V618">
        <v>0</v>
      </c>
      <c r="W618">
        <v>6.748759547491679</v>
      </c>
      <c r="X618">
        <v>0</v>
      </c>
    </row>
    <row r="619" spans="1:24">
      <c r="A619" t="s">
        <v>1896</v>
      </c>
      <c r="B619" t="s">
        <v>1897</v>
      </c>
      <c r="C619" t="s">
        <v>26</v>
      </c>
      <c r="D619">
        <v>6.727</v>
      </c>
      <c r="E619">
        <v>6696</v>
      </c>
      <c r="F619">
        <v>21</v>
      </c>
      <c r="G619" t="s">
        <v>62</v>
      </c>
      <c r="H619" t="s">
        <v>1898</v>
      </c>
      <c r="I619" t="s">
        <v>29</v>
      </c>
      <c r="J619" t="s">
        <v>30</v>
      </c>
      <c r="K619" t="s">
        <v>31</v>
      </c>
      <c r="L619" t="s">
        <v>31</v>
      </c>
      <c r="M619" t="s">
        <v>97</v>
      </c>
      <c r="N619">
        <v>3</v>
      </c>
      <c r="O619">
        <v>3</v>
      </c>
      <c r="P619">
        <v>1</v>
      </c>
      <c r="Q619">
        <v>995.3917050691244</v>
      </c>
      <c r="R619">
        <v>3.121748178980229</v>
      </c>
      <c r="S619">
        <v>318.8571428571428</v>
      </c>
      <c r="T619">
        <v>0</v>
      </c>
      <c r="U619">
        <v>1</v>
      </c>
      <c r="V619">
        <v>0</v>
      </c>
      <c r="W619">
        <v>8.809414943910051</v>
      </c>
      <c r="X619">
        <v>0</v>
      </c>
    </row>
    <row r="620" spans="1:24">
      <c r="A620" t="s">
        <v>1899</v>
      </c>
      <c r="B620" t="s">
        <v>1900</v>
      </c>
      <c r="C620" t="s">
        <v>35</v>
      </c>
      <c r="D620">
        <v>1.934</v>
      </c>
      <c r="E620">
        <v>5771</v>
      </c>
      <c r="F620">
        <v>19</v>
      </c>
      <c r="G620" t="s">
        <v>27</v>
      </c>
      <c r="H620" t="s">
        <v>1901</v>
      </c>
      <c r="I620" t="s">
        <v>29</v>
      </c>
      <c r="J620" t="s">
        <v>30</v>
      </c>
      <c r="K620" t="s">
        <v>30</v>
      </c>
      <c r="L620" t="s">
        <v>38</v>
      </c>
      <c r="M620" t="s">
        <v>39</v>
      </c>
      <c r="N620">
        <v>3</v>
      </c>
      <c r="O620">
        <v>3</v>
      </c>
      <c r="P620">
        <v>1</v>
      </c>
      <c r="Q620">
        <v>2983.971044467425</v>
      </c>
      <c r="R620">
        <v>9.824198552223372</v>
      </c>
      <c r="S620">
        <v>303.7368421052632</v>
      </c>
      <c r="T620">
        <v>0</v>
      </c>
      <c r="U620">
        <v>1</v>
      </c>
      <c r="V620">
        <v>0</v>
      </c>
      <c r="W620">
        <v>8.660773919893762</v>
      </c>
      <c r="X620">
        <v>0</v>
      </c>
    </row>
    <row r="621" spans="1:24">
      <c r="A621" t="s">
        <v>1902</v>
      </c>
      <c r="B621" t="s">
        <v>1903</v>
      </c>
      <c r="C621" t="s">
        <v>52</v>
      </c>
      <c r="D621">
        <v>0.729</v>
      </c>
      <c r="E621">
        <v>1471</v>
      </c>
      <c r="F621">
        <v>12</v>
      </c>
      <c r="G621" t="s">
        <v>47</v>
      </c>
      <c r="H621" t="s">
        <v>1904</v>
      </c>
      <c r="I621" t="s">
        <v>29</v>
      </c>
      <c r="J621" t="s">
        <v>31</v>
      </c>
      <c r="K621" t="s">
        <v>30</v>
      </c>
      <c r="L621" t="s">
        <v>31</v>
      </c>
      <c r="M621" t="s">
        <v>39</v>
      </c>
      <c r="N621">
        <v>3</v>
      </c>
      <c r="O621">
        <v>3</v>
      </c>
      <c r="P621">
        <v>1</v>
      </c>
      <c r="Q621">
        <v>2017.832647462277</v>
      </c>
      <c r="R621">
        <v>16.46090534979424</v>
      </c>
      <c r="S621">
        <v>122.5833333333333</v>
      </c>
      <c r="T621">
        <v>0</v>
      </c>
      <c r="U621">
        <v>1</v>
      </c>
      <c r="V621">
        <v>0</v>
      </c>
      <c r="W621">
        <v>7.294377299288821</v>
      </c>
      <c r="X621">
        <v>0</v>
      </c>
    </row>
    <row r="622" spans="1:24">
      <c r="A622" t="s">
        <v>1905</v>
      </c>
      <c r="B622" t="s">
        <v>1906</v>
      </c>
      <c r="C622" t="s">
        <v>35</v>
      </c>
      <c r="D622">
        <v>0.55</v>
      </c>
      <c r="E622">
        <v>14277</v>
      </c>
      <c r="F622">
        <v>19</v>
      </c>
      <c r="G622" t="s">
        <v>27</v>
      </c>
      <c r="H622" t="s">
        <v>1907</v>
      </c>
      <c r="I622" t="s">
        <v>29</v>
      </c>
      <c r="J622" t="s">
        <v>30</v>
      </c>
      <c r="K622" t="s">
        <v>38</v>
      </c>
      <c r="L622" t="s">
        <v>38</v>
      </c>
      <c r="M622" t="s">
        <v>44</v>
      </c>
      <c r="N622">
        <v>3</v>
      </c>
      <c r="O622">
        <v>3</v>
      </c>
      <c r="P622">
        <v>1</v>
      </c>
      <c r="Q622">
        <v>25958.18181818182</v>
      </c>
      <c r="R622">
        <v>34.54545454545454</v>
      </c>
      <c r="S622">
        <v>751.421052631579</v>
      </c>
      <c r="T622">
        <v>0</v>
      </c>
      <c r="U622">
        <v>1</v>
      </c>
      <c r="V622">
        <v>1</v>
      </c>
      <c r="W622">
        <v>9.566475170062406</v>
      </c>
      <c r="X622">
        <v>0</v>
      </c>
    </row>
    <row r="623" spans="1:24">
      <c r="A623" t="s">
        <v>1908</v>
      </c>
      <c r="B623" t="s">
        <v>1909</v>
      </c>
      <c r="C623" t="s">
        <v>35</v>
      </c>
      <c r="D623">
        <v>1.798</v>
      </c>
      <c r="E623">
        <v>3291</v>
      </c>
      <c r="F623">
        <v>15</v>
      </c>
      <c r="G623" t="s">
        <v>47</v>
      </c>
      <c r="H623" t="s">
        <v>1910</v>
      </c>
      <c r="I623" t="s">
        <v>29</v>
      </c>
      <c r="J623" t="s">
        <v>31</v>
      </c>
      <c r="K623" t="s">
        <v>30</v>
      </c>
      <c r="L623" t="s">
        <v>30</v>
      </c>
      <c r="M623" t="s">
        <v>44</v>
      </c>
      <c r="N623">
        <v>3</v>
      </c>
      <c r="O623">
        <v>3</v>
      </c>
      <c r="P623">
        <v>1</v>
      </c>
      <c r="Q623">
        <v>1830.367074527252</v>
      </c>
      <c r="R623">
        <v>8.342602892102336</v>
      </c>
      <c r="S623">
        <v>219.4</v>
      </c>
      <c r="T623">
        <v>0</v>
      </c>
      <c r="U623">
        <v>1</v>
      </c>
      <c r="V623">
        <v>0</v>
      </c>
      <c r="W623">
        <v>8.099250561796961</v>
      </c>
      <c r="X623">
        <v>0</v>
      </c>
    </row>
    <row r="624" spans="1:24">
      <c r="A624" t="s">
        <v>1911</v>
      </c>
      <c r="B624" t="s">
        <v>1912</v>
      </c>
      <c r="C624" t="s">
        <v>35</v>
      </c>
      <c r="D624">
        <v>1.421</v>
      </c>
      <c r="E624">
        <v>1801</v>
      </c>
      <c r="F624">
        <v>19</v>
      </c>
      <c r="G624" t="s">
        <v>62</v>
      </c>
      <c r="H624" t="s">
        <v>1913</v>
      </c>
      <c r="I624" t="s">
        <v>29</v>
      </c>
      <c r="J624" t="s">
        <v>30</v>
      </c>
      <c r="K624" t="s">
        <v>30</v>
      </c>
      <c r="L624" t="s">
        <v>38</v>
      </c>
      <c r="M624" t="s">
        <v>76</v>
      </c>
      <c r="N624">
        <v>3</v>
      </c>
      <c r="O624">
        <v>3</v>
      </c>
      <c r="P624">
        <v>1</v>
      </c>
      <c r="Q624">
        <v>1267.417311752287</v>
      </c>
      <c r="R624">
        <v>13.37086558761436</v>
      </c>
      <c r="S624">
        <v>94.78947368421052</v>
      </c>
      <c r="T624">
        <v>0</v>
      </c>
      <c r="U624">
        <v>1</v>
      </c>
      <c r="V624">
        <v>0</v>
      </c>
      <c r="W624">
        <v>7.496652438168283</v>
      </c>
      <c r="X624">
        <v>0</v>
      </c>
    </row>
    <row r="625" spans="1:24">
      <c r="A625" t="s">
        <v>1914</v>
      </c>
      <c r="B625" t="s">
        <v>1915</v>
      </c>
      <c r="C625" t="s">
        <v>35</v>
      </c>
      <c r="D625">
        <v>0.78</v>
      </c>
      <c r="E625">
        <v>380</v>
      </c>
      <c r="F625">
        <v>15</v>
      </c>
      <c r="G625" t="s">
        <v>27</v>
      </c>
      <c r="H625" t="s">
        <v>1916</v>
      </c>
      <c r="I625" t="s">
        <v>29</v>
      </c>
      <c r="J625" t="s">
        <v>30</v>
      </c>
      <c r="K625" t="s">
        <v>30</v>
      </c>
      <c r="L625" t="s">
        <v>30</v>
      </c>
      <c r="M625" t="s">
        <v>76</v>
      </c>
      <c r="N625">
        <v>3</v>
      </c>
      <c r="O625">
        <v>3</v>
      </c>
      <c r="P625">
        <v>1</v>
      </c>
      <c r="Q625">
        <v>487.1794871794872</v>
      </c>
      <c r="R625">
        <v>19.23076923076923</v>
      </c>
      <c r="S625">
        <v>25.33333333333333</v>
      </c>
      <c r="T625">
        <v>0</v>
      </c>
      <c r="U625">
        <v>1</v>
      </c>
      <c r="V625">
        <v>0</v>
      </c>
      <c r="W625">
        <v>5.942799375126701</v>
      </c>
      <c r="X625">
        <v>0</v>
      </c>
    </row>
    <row r="626" spans="1:24">
      <c r="A626" t="s">
        <v>1917</v>
      </c>
      <c r="B626" t="s">
        <v>1918</v>
      </c>
      <c r="C626" t="s">
        <v>35</v>
      </c>
      <c r="D626">
        <v>2.083</v>
      </c>
      <c r="E626">
        <v>1040</v>
      </c>
      <c r="F626">
        <v>19</v>
      </c>
      <c r="G626" t="s">
        <v>27</v>
      </c>
      <c r="H626" t="s">
        <v>1919</v>
      </c>
      <c r="I626" t="s">
        <v>29</v>
      </c>
      <c r="J626" t="s">
        <v>30</v>
      </c>
      <c r="K626" t="s">
        <v>30</v>
      </c>
      <c r="L626" t="s">
        <v>30</v>
      </c>
      <c r="M626" t="s">
        <v>39</v>
      </c>
      <c r="N626">
        <v>4</v>
      </c>
      <c r="O626">
        <v>3</v>
      </c>
      <c r="P626">
        <v>0</v>
      </c>
      <c r="Q626">
        <v>499.279884781565</v>
      </c>
      <c r="R626">
        <v>9.121459433509362</v>
      </c>
      <c r="S626">
        <v>54.73684210526316</v>
      </c>
      <c r="T626">
        <v>0</v>
      </c>
      <c r="U626">
        <v>1</v>
      </c>
      <c r="V626">
        <v>0</v>
      </c>
      <c r="W626">
        <v>6.947937068614969</v>
      </c>
      <c r="X626">
        <v>0</v>
      </c>
    </row>
    <row r="627" spans="1:24">
      <c r="A627" t="s">
        <v>1920</v>
      </c>
      <c r="B627" t="s">
        <v>1921</v>
      </c>
      <c r="C627" t="s">
        <v>26</v>
      </c>
      <c r="D627">
        <v>5.169</v>
      </c>
      <c r="E627">
        <v>1936</v>
      </c>
      <c r="F627">
        <v>16</v>
      </c>
      <c r="G627" t="s">
        <v>47</v>
      </c>
      <c r="H627" t="s">
        <v>1922</v>
      </c>
      <c r="I627" t="s">
        <v>29</v>
      </c>
      <c r="J627" t="s">
        <v>31</v>
      </c>
      <c r="K627" t="s">
        <v>30</v>
      </c>
      <c r="L627" t="s">
        <v>30</v>
      </c>
      <c r="M627" t="s">
        <v>97</v>
      </c>
      <c r="N627">
        <v>4</v>
      </c>
      <c r="O627">
        <v>3</v>
      </c>
      <c r="P627">
        <v>0</v>
      </c>
      <c r="Q627">
        <v>374.5405300831883</v>
      </c>
      <c r="R627">
        <v>3.095376281679242</v>
      </c>
      <c r="S627">
        <v>121</v>
      </c>
      <c r="T627">
        <v>0</v>
      </c>
      <c r="U627">
        <v>1</v>
      </c>
      <c r="V627">
        <v>0</v>
      </c>
      <c r="W627">
        <v>7.568895663406995</v>
      </c>
      <c r="X627">
        <v>0</v>
      </c>
    </row>
    <row r="628" spans="1:24">
      <c r="A628" t="s">
        <v>1923</v>
      </c>
      <c r="B628" t="s">
        <v>1924</v>
      </c>
      <c r="C628" t="s">
        <v>35</v>
      </c>
      <c r="D628">
        <v>5.547</v>
      </c>
      <c r="E628">
        <v>5105</v>
      </c>
      <c r="F628">
        <v>21</v>
      </c>
      <c r="G628" t="s">
        <v>27</v>
      </c>
      <c r="H628" t="s">
        <v>1925</v>
      </c>
      <c r="I628" t="s">
        <v>29</v>
      </c>
      <c r="J628" t="s">
        <v>30</v>
      </c>
      <c r="K628" t="s">
        <v>38</v>
      </c>
      <c r="L628" t="s">
        <v>30</v>
      </c>
      <c r="M628" t="s">
        <v>97</v>
      </c>
      <c r="N628">
        <v>4</v>
      </c>
      <c r="O628">
        <v>3</v>
      </c>
      <c r="P628">
        <v>0</v>
      </c>
      <c r="Q628">
        <v>920.3172886244818</v>
      </c>
      <c r="R628">
        <v>3.785830178474852</v>
      </c>
      <c r="S628">
        <v>243.0952380952381</v>
      </c>
      <c r="T628">
        <v>0</v>
      </c>
      <c r="U628">
        <v>1</v>
      </c>
      <c r="V628">
        <v>0</v>
      </c>
      <c r="W628">
        <v>8.53817159780143</v>
      </c>
      <c r="X628">
        <v>0</v>
      </c>
    </row>
    <row r="629" spans="1:24">
      <c r="A629" t="s">
        <v>1926</v>
      </c>
      <c r="B629" t="s">
        <v>1927</v>
      </c>
      <c r="C629" t="s">
        <v>26</v>
      </c>
      <c r="D629">
        <v>3.855</v>
      </c>
      <c r="E629">
        <v>8610</v>
      </c>
      <c r="F629">
        <v>16</v>
      </c>
      <c r="G629" t="s">
        <v>47</v>
      </c>
      <c r="H629" t="s">
        <v>1928</v>
      </c>
      <c r="I629" t="s">
        <v>29</v>
      </c>
      <c r="J629" t="s">
        <v>31</v>
      </c>
      <c r="K629" t="s">
        <v>30</v>
      </c>
      <c r="L629" t="s">
        <v>31</v>
      </c>
      <c r="M629" t="s">
        <v>44</v>
      </c>
      <c r="N629">
        <v>4</v>
      </c>
      <c r="O629">
        <v>3</v>
      </c>
      <c r="P629">
        <v>0</v>
      </c>
      <c r="Q629">
        <v>2233.463035019455</v>
      </c>
      <c r="R629">
        <v>4.150453955901427</v>
      </c>
      <c r="S629">
        <v>538.125</v>
      </c>
      <c r="T629">
        <v>0</v>
      </c>
      <c r="U629">
        <v>1</v>
      </c>
      <c r="V629">
        <v>0</v>
      </c>
      <c r="W629">
        <v>9.060795734696166</v>
      </c>
      <c r="X629">
        <v>0</v>
      </c>
    </row>
    <row r="630" spans="1:24">
      <c r="A630" t="s">
        <v>1929</v>
      </c>
      <c r="B630" t="s">
        <v>1930</v>
      </c>
      <c r="C630" t="s">
        <v>26</v>
      </c>
      <c r="D630">
        <v>9.491</v>
      </c>
      <c r="E630">
        <v>869</v>
      </c>
      <c r="F630">
        <v>11</v>
      </c>
      <c r="G630" t="s">
        <v>36</v>
      </c>
      <c r="H630" t="s">
        <v>1931</v>
      </c>
      <c r="I630" t="s">
        <v>29</v>
      </c>
      <c r="J630" t="s">
        <v>38</v>
      </c>
      <c r="K630" t="s">
        <v>30</v>
      </c>
      <c r="L630" t="s">
        <v>31</v>
      </c>
      <c r="M630" t="s">
        <v>32</v>
      </c>
      <c r="N630">
        <v>4</v>
      </c>
      <c r="O630">
        <v>3</v>
      </c>
      <c r="P630">
        <v>0</v>
      </c>
      <c r="Q630">
        <v>91.56042566642084</v>
      </c>
      <c r="R630">
        <v>1.158992729954694</v>
      </c>
      <c r="S630">
        <v>79</v>
      </c>
      <c r="T630">
        <v>0</v>
      </c>
      <c r="U630">
        <v>1</v>
      </c>
      <c r="V630">
        <v>0</v>
      </c>
      <c r="W630">
        <v>6.76849321164863</v>
      </c>
      <c r="X630">
        <v>0</v>
      </c>
    </row>
    <row r="631" spans="1:24">
      <c r="A631" t="s">
        <v>1932</v>
      </c>
      <c r="B631" t="s">
        <v>1933</v>
      </c>
      <c r="C631" t="s">
        <v>35</v>
      </c>
      <c r="D631">
        <v>4.179</v>
      </c>
      <c r="E631">
        <v>2074</v>
      </c>
      <c r="F631">
        <v>15</v>
      </c>
      <c r="G631" t="s">
        <v>47</v>
      </c>
      <c r="H631" t="s">
        <v>1934</v>
      </c>
      <c r="I631" t="s">
        <v>29</v>
      </c>
      <c r="J631" t="s">
        <v>31</v>
      </c>
      <c r="K631" t="s">
        <v>30</v>
      </c>
      <c r="L631" t="s">
        <v>30</v>
      </c>
      <c r="M631" t="s">
        <v>39</v>
      </c>
      <c r="N631">
        <v>4</v>
      </c>
      <c r="O631">
        <v>3</v>
      </c>
      <c r="P631">
        <v>0</v>
      </c>
      <c r="Q631">
        <v>496.2909787030389</v>
      </c>
      <c r="R631">
        <v>3.589375448671931</v>
      </c>
      <c r="S631">
        <v>138.2666666666667</v>
      </c>
      <c r="T631">
        <v>0</v>
      </c>
      <c r="U631">
        <v>1</v>
      </c>
      <c r="V631">
        <v>0</v>
      </c>
      <c r="W631">
        <v>7.637716432664798</v>
      </c>
      <c r="X631">
        <v>0</v>
      </c>
    </row>
    <row r="632" spans="1:24">
      <c r="A632" t="s">
        <v>1935</v>
      </c>
      <c r="B632" t="s">
        <v>1936</v>
      </c>
      <c r="C632" t="s">
        <v>26</v>
      </c>
      <c r="D632">
        <v>1.469</v>
      </c>
      <c r="E632">
        <v>3001</v>
      </c>
      <c r="F632">
        <v>24</v>
      </c>
      <c r="G632" t="s">
        <v>36</v>
      </c>
      <c r="H632" t="s">
        <v>1937</v>
      </c>
      <c r="I632" t="s">
        <v>29</v>
      </c>
      <c r="J632" t="s">
        <v>38</v>
      </c>
      <c r="K632" t="s">
        <v>30</v>
      </c>
      <c r="L632" t="s">
        <v>31</v>
      </c>
      <c r="M632" t="s">
        <v>39</v>
      </c>
      <c r="N632">
        <v>4</v>
      </c>
      <c r="O632">
        <v>3</v>
      </c>
      <c r="P632">
        <v>0</v>
      </c>
      <c r="Q632">
        <v>2042.8863172226</v>
      </c>
      <c r="R632">
        <v>16.33764465622873</v>
      </c>
      <c r="S632">
        <v>125.0416666666667</v>
      </c>
      <c r="T632">
        <v>0</v>
      </c>
      <c r="U632">
        <v>1</v>
      </c>
      <c r="V632">
        <v>0</v>
      </c>
      <c r="W632">
        <v>8.007034012193408</v>
      </c>
      <c r="X632">
        <v>0</v>
      </c>
    </row>
    <row r="633" spans="1:24">
      <c r="A633" t="s">
        <v>1938</v>
      </c>
      <c r="B633" t="s">
        <v>1939</v>
      </c>
      <c r="C633" t="s">
        <v>35</v>
      </c>
      <c r="D633">
        <v>5.908</v>
      </c>
      <c r="E633">
        <v>381</v>
      </c>
      <c r="F633">
        <v>22</v>
      </c>
      <c r="G633" t="s">
        <v>47</v>
      </c>
      <c r="H633" t="s">
        <v>1940</v>
      </c>
      <c r="I633" t="s">
        <v>29</v>
      </c>
      <c r="J633" t="s">
        <v>31</v>
      </c>
      <c r="K633" t="s">
        <v>38</v>
      </c>
      <c r="L633" t="s">
        <v>31</v>
      </c>
      <c r="M633" t="s">
        <v>44</v>
      </c>
      <c r="N633">
        <v>4</v>
      </c>
      <c r="O633">
        <v>3</v>
      </c>
      <c r="P633">
        <v>0</v>
      </c>
      <c r="Q633">
        <v>64.48882870683818</v>
      </c>
      <c r="R633">
        <v>3.723764387271496</v>
      </c>
      <c r="S633">
        <v>17.31818181818182</v>
      </c>
      <c r="T633">
        <v>0</v>
      </c>
      <c r="U633">
        <v>1</v>
      </c>
      <c r="V633">
        <v>0</v>
      </c>
      <c r="W633">
        <v>5.945420608606575</v>
      </c>
      <c r="X633">
        <v>0</v>
      </c>
    </row>
    <row r="634" spans="1:24">
      <c r="A634" t="s">
        <v>1941</v>
      </c>
      <c r="B634" t="s">
        <v>1942</v>
      </c>
      <c r="C634" t="s">
        <v>35</v>
      </c>
      <c r="D634">
        <v>8.401999999999999</v>
      </c>
      <c r="E634">
        <v>2047</v>
      </c>
      <c r="F634">
        <v>23</v>
      </c>
      <c r="G634" t="s">
        <v>36</v>
      </c>
      <c r="H634" t="s">
        <v>1943</v>
      </c>
      <c r="I634" t="s">
        <v>29</v>
      </c>
      <c r="J634" t="s">
        <v>38</v>
      </c>
      <c r="K634" t="s">
        <v>31</v>
      </c>
      <c r="L634" t="s">
        <v>30</v>
      </c>
      <c r="M634" t="s">
        <v>76</v>
      </c>
      <c r="N634">
        <v>4</v>
      </c>
      <c r="O634">
        <v>3</v>
      </c>
      <c r="P634">
        <v>0</v>
      </c>
      <c r="Q634">
        <v>243.6324684598905</v>
      </c>
      <c r="R634">
        <v>2.737443465841467</v>
      </c>
      <c r="S634">
        <v>89</v>
      </c>
      <c r="T634">
        <v>0</v>
      </c>
      <c r="U634">
        <v>1</v>
      </c>
      <c r="V634">
        <v>0</v>
      </c>
      <c r="W634">
        <v>7.624618986159398</v>
      </c>
      <c r="X634">
        <v>0</v>
      </c>
    </row>
    <row r="635" spans="1:24">
      <c r="A635" t="s">
        <v>1944</v>
      </c>
      <c r="B635" t="s">
        <v>1945</v>
      </c>
      <c r="C635" t="s">
        <v>35</v>
      </c>
      <c r="D635">
        <v>0.178</v>
      </c>
      <c r="E635">
        <v>1337</v>
      </c>
      <c r="F635">
        <v>2</v>
      </c>
      <c r="G635" t="s">
        <v>27</v>
      </c>
      <c r="H635" t="s">
        <v>1946</v>
      </c>
      <c r="I635" t="s">
        <v>90</v>
      </c>
      <c r="J635" t="s">
        <v>30</v>
      </c>
      <c r="K635" t="s">
        <v>30</v>
      </c>
      <c r="L635" t="s">
        <v>31</v>
      </c>
      <c r="M635" t="s">
        <v>97</v>
      </c>
      <c r="N635">
        <v>4</v>
      </c>
      <c r="O635">
        <v>3</v>
      </c>
      <c r="P635">
        <v>0</v>
      </c>
      <c r="Q635">
        <v>7511.23595505618</v>
      </c>
      <c r="R635">
        <v>11.23595505617978</v>
      </c>
      <c r="S635">
        <v>668.5</v>
      </c>
      <c r="T635">
        <v>0</v>
      </c>
      <c r="U635">
        <v>1</v>
      </c>
      <c r="V635">
        <v>0</v>
      </c>
      <c r="W635">
        <v>7.198931240688173</v>
      </c>
      <c r="X635">
        <v>1</v>
      </c>
    </row>
    <row r="636" spans="1:24">
      <c r="A636" t="s">
        <v>1947</v>
      </c>
      <c r="B636" t="s">
        <v>1948</v>
      </c>
      <c r="C636" t="s">
        <v>35</v>
      </c>
      <c r="D636">
        <v>2.751</v>
      </c>
      <c r="E636">
        <v>2735</v>
      </c>
      <c r="F636">
        <v>18</v>
      </c>
      <c r="G636" t="s">
        <v>47</v>
      </c>
      <c r="H636" t="s">
        <v>1949</v>
      </c>
      <c r="I636" t="s">
        <v>29</v>
      </c>
      <c r="J636" t="s">
        <v>31</v>
      </c>
      <c r="K636" t="s">
        <v>31</v>
      </c>
      <c r="L636" t="s">
        <v>31</v>
      </c>
      <c r="M636" t="s">
        <v>97</v>
      </c>
      <c r="N636">
        <v>4</v>
      </c>
      <c r="O636">
        <v>3</v>
      </c>
      <c r="P636">
        <v>0</v>
      </c>
      <c r="Q636">
        <v>994.1839331152308</v>
      </c>
      <c r="R636">
        <v>6.543075245365322</v>
      </c>
      <c r="S636">
        <v>151.9444444444445</v>
      </c>
      <c r="T636">
        <v>0</v>
      </c>
      <c r="U636">
        <v>1</v>
      </c>
      <c r="V636">
        <v>0</v>
      </c>
      <c r="W636">
        <v>7.914252278742441</v>
      </c>
      <c r="X636">
        <v>0</v>
      </c>
    </row>
    <row r="637" spans="1:24">
      <c r="A637" t="s">
        <v>1950</v>
      </c>
      <c r="B637" t="s">
        <v>1951</v>
      </c>
      <c r="C637" t="s">
        <v>35</v>
      </c>
      <c r="D637">
        <v>0.9429999999999999</v>
      </c>
      <c r="E637">
        <v>1300</v>
      </c>
      <c r="F637">
        <v>17</v>
      </c>
      <c r="G637" t="s">
        <v>36</v>
      </c>
      <c r="H637" t="s">
        <v>1952</v>
      </c>
      <c r="I637" t="s">
        <v>29</v>
      </c>
      <c r="J637" t="s">
        <v>38</v>
      </c>
      <c r="K637" t="s">
        <v>30</v>
      </c>
      <c r="L637" t="s">
        <v>30</v>
      </c>
      <c r="M637" t="s">
        <v>44</v>
      </c>
      <c r="N637">
        <v>4</v>
      </c>
      <c r="O637">
        <v>3</v>
      </c>
      <c r="P637">
        <v>0</v>
      </c>
      <c r="Q637">
        <v>1378.579003181336</v>
      </c>
      <c r="R637">
        <v>18.02757158006363</v>
      </c>
      <c r="S637">
        <v>76.47058823529412</v>
      </c>
      <c r="T637">
        <v>0</v>
      </c>
      <c r="U637">
        <v>1</v>
      </c>
      <c r="V637">
        <v>0</v>
      </c>
      <c r="W637">
        <v>7.170888478512505</v>
      </c>
      <c r="X637">
        <v>0</v>
      </c>
    </row>
    <row r="638" spans="1:24">
      <c r="A638" t="s">
        <v>1953</v>
      </c>
      <c r="B638" t="s">
        <v>1954</v>
      </c>
      <c r="C638" t="s">
        <v>26</v>
      </c>
      <c r="D638">
        <v>3.321</v>
      </c>
      <c r="E638">
        <v>2949</v>
      </c>
      <c r="F638">
        <v>23</v>
      </c>
      <c r="G638" t="s">
        <v>27</v>
      </c>
      <c r="H638" t="s">
        <v>1955</v>
      </c>
      <c r="I638" t="s">
        <v>29</v>
      </c>
      <c r="J638" t="s">
        <v>30</v>
      </c>
      <c r="K638" t="s">
        <v>30</v>
      </c>
      <c r="L638" t="s">
        <v>30</v>
      </c>
      <c r="M638" t="s">
        <v>44</v>
      </c>
      <c r="N638">
        <v>5</v>
      </c>
      <c r="O638">
        <v>3</v>
      </c>
      <c r="P638">
        <v>0</v>
      </c>
      <c r="Q638">
        <v>887.9855465221318</v>
      </c>
      <c r="R638">
        <v>6.925624811803673</v>
      </c>
      <c r="S638">
        <v>128.2173913043478</v>
      </c>
      <c r="T638">
        <v>0</v>
      </c>
      <c r="U638">
        <v>1</v>
      </c>
      <c r="V638">
        <v>0</v>
      </c>
      <c r="W638">
        <v>7.989560449333865</v>
      </c>
      <c r="X638">
        <v>0</v>
      </c>
    </row>
    <row r="639" spans="1:24">
      <c r="A639" t="s">
        <v>1956</v>
      </c>
      <c r="B639" t="s">
        <v>1957</v>
      </c>
      <c r="C639" t="s">
        <v>26</v>
      </c>
      <c r="D639">
        <v>1.615</v>
      </c>
      <c r="E639">
        <v>2146</v>
      </c>
      <c r="F639">
        <v>26</v>
      </c>
      <c r="G639" t="s">
        <v>62</v>
      </c>
      <c r="H639" t="s">
        <v>1958</v>
      </c>
      <c r="I639" t="s">
        <v>29</v>
      </c>
      <c r="J639" t="s">
        <v>30</v>
      </c>
      <c r="K639" t="s">
        <v>30</v>
      </c>
      <c r="L639" t="s">
        <v>31</v>
      </c>
      <c r="M639" t="s">
        <v>97</v>
      </c>
      <c r="N639">
        <v>5</v>
      </c>
      <c r="O639">
        <v>3</v>
      </c>
      <c r="P639">
        <v>0</v>
      </c>
      <c r="Q639">
        <v>1328.792569659443</v>
      </c>
      <c r="R639">
        <v>16.09907120743034</v>
      </c>
      <c r="S639">
        <v>82.53846153846153</v>
      </c>
      <c r="T639">
        <v>0</v>
      </c>
      <c r="U639">
        <v>1</v>
      </c>
      <c r="V639">
        <v>0</v>
      </c>
      <c r="W639">
        <v>7.671826797878781</v>
      </c>
      <c r="X639">
        <v>0</v>
      </c>
    </row>
    <row r="640" spans="1:24">
      <c r="A640" t="s">
        <v>1959</v>
      </c>
      <c r="B640" t="s">
        <v>1960</v>
      </c>
      <c r="C640" t="s">
        <v>26</v>
      </c>
      <c r="D640">
        <v>2.748</v>
      </c>
      <c r="E640">
        <v>913</v>
      </c>
      <c r="F640">
        <v>20</v>
      </c>
      <c r="G640" t="s">
        <v>27</v>
      </c>
      <c r="H640" t="s">
        <v>1961</v>
      </c>
      <c r="I640" t="s">
        <v>29</v>
      </c>
      <c r="J640" t="s">
        <v>30</v>
      </c>
      <c r="K640" t="s">
        <v>38</v>
      </c>
      <c r="L640" t="s">
        <v>30</v>
      </c>
      <c r="M640" t="s">
        <v>44</v>
      </c>
      <c r="N640">
        <v>5</v>
      </c>
      <c r="O640">
        <v>3</v>
      </c>
      <c r="P640">
        <v>0</v>
      </c>
      <c r="Q640">
        <v>332.2416302765648</v>
      </c>
      <c r="R640">
        <v>7.278020378457059</v>
      </c>
      <c r="S640">
        <v>45.65</v>
      </c>
      <c r="T640">
        <v>0</v>
      </c>
      <c r="U640">
        <v>1</v>
      </c>
      <c r="V640">
        <v>0</v>
      </c>
      <c r="W640">
        <v>6.81783057145415</v>
      </c>
      <c r="X640">
        <v>0</v>
      </c>
    </row>
    <row r="641" spans="1:24">
      <c r="A641" t="s">
        <v>1962</v>
      </c>
      <c r="B641" t="s">
        <v>1963</v>
      </c>
      <c r="C641" t="s">
        <v>26</v>
      </c>
      <c r="D641">
        <v>1.192</v>
      </c>
      <c r="E641">
        <v>7445</v>
      </c>
      <c r="F641">
        <v>15</v>
      </c>
      <c r="G641" t="s">
        <v>27</v>
      </c>
      <c r="H641" t="s">
        <v>1964</v>
      </c>
      <c r="I641" t="s">
        <v>29</v>
      </c>
      <c r="J641" t="s">
        <v>30</v>
      </c>
      <c r="K641" t="s">
        <v>31</v>
      </c>
      <c r="L641" t="s">
        <v>38</v>
      </c>
      <c r="M641" t="s">
        <v>97</v>
      </c>
      <c r="N641">
        <v>5</v>
      </c>
      <c r="O641">
        <v>3</v>
      </c>
      <c r="P641">
        <v>0</v>
      </c>
      <c r="Q641">
        <v>6245.805369127517</v>
      </c>
      <c r="R641">
        <v>12.58389261744966</v>
      </c>
      <c r="S641">
        <v>496.3333333333333</v>
      </c>
      <c r="T641">
        <v>0</v>
      </c>
      <c r="U641">
        <v>1</v>
      </c>
      <c r="V641">
        <v>0</v>
      </c>
      <c r="W641">
        <v>8.915432254432663</v>
      </c>
      <c r="X641">
        <v>0</v>
      </c>
    </row>
    <row r="642" spans="1:24">
      <c r="A642" t="s">
        <v>1965</v>
      </c>
      <c r="B642" t="s">
        <v>1966</v>
      </c>
      <c r="C642" t="s">
        <v>35</v>
      </c>
      <c r="D642">
        <v>5.987</v>
      </c>
      <c r="E642">
        <v>7825</v>
      </c>
      <c r="F642">
        <v>22</v>
      </c>
      <c r="G642" t="s">
        <v>47</v>
      </c>
      <c r="H642" t="s">
        <v>1967</v>
      </c>
      <c r="I642" t="s">
        <v>29</v>
      </c>
      <c r="J642" t="s">
        <v>31</v>
      </c>
      <c r="K642" t="s">
        <v>31</v>
      </c>
      <c r="L642" t="s">
        <v>30</v>
      </c>
      <c r="M642" t="s">
        <v>83</v>
      </c>
      <c r="N642">
        <v>5</v>
      </c>
      <c r="O642">
        <v>3</v>
      </c>
      <c r="P642">
        <v>0</v>
      </c>
      <c r="Q642">
        <v>1306.998496742943</v>
      </c>
      <c r="R642">
        <v>3.674628361449808</v>
      </c>
      <c r="S642">
        <v>355.6818181818182</v>
      </c>
      <c r="T642">
        <v>0</v>
      </c>
      <c r="U642">
        <v>1</v>
      </c>
      <c r="V642">
        <v>0</v>
      </c>
      <c r="W642">
        <v>8.965206802770357</v>
      </c>
      <c r="X642">
        <v>0</v>
      </c>
    </row>
    <row r="643" spans="1:24">
      <c r="A643" t="s">
        <v>1968</v>
      </c>
      <c r="B643" t="s">
        <v>1969</v>
      </c>
      <c r="C643" t="s">
        <v>35</v>
      </c>
      <c r="D643">
        <v>2.912</v>
      </c>
      <c r="E643">
        <v>1298</v>
      </c>
      <c r="F643">
        <v>12</v>
      </c>
      <c r="G643" t="s">
        <v>62</v>
      </c>
      <c r="H643" t="s">
        <v>1970</v>
      </c>
      <c r="I643" t="s">
        <v>29</v>
      </c>
      <c r="J643" t="s">
        <v>30</v>
      </c>
      <c r="K643" t="s">
        <v>31</v>
      </c>
      <c r="L643" t="s">
        <v>30</v>
      </c>
      <c r="M643" t="s">
        <v>83</v>
      </c>
      <c r="N643">
        <v>5</v>
      </c>
      <c r="O643">
        <v>3</v>
      </c>
      <c r="P643">
        <v>0</v>
      </c>
      <c r="Q643">
        <v>445.7417582417583</v>
      </c>
      <c r="R643">
        <v>4.120879120879121</v>
      </c>
      <c r="S643">
        <v>108.1666666666667</v>
      </c>
      <c r="T643">
        <v>0</v>
      </c>
      <c r="U643">
        <v>1</v>
      </c>
      <c r="V643">
        <v>0</v>
      </c>
      <c r="W643">
        <v>7.1693500166706</v>
      </c>
      <c r="X643">
        <v>0</v>
      </c>
    </row>
    <row r="644" spans="1:24">
      <c r="A644" t="s">
        <v>1971</v>
      </c>
      <c r="B644" t="s">
        <v>1972</v>
      </c>
      <c r="C644" t="s">
        <v>35</v>
      </c>
      <c r="D644">
        <v>2.782</v>
      </c>
      <c r="E644">
        <v>3530</v>
      </c>
      <c r="F644">
        <v>24</v>
      </c>
      <c r="G644" t="s">
        <v>62</v>
      </c>
      <c r="H644" t="s">
        <v>1973</v>
      </c>
      <c r="I644" t="s">
        <v>29</v>
      </c>
      <c r="J644" t="s">
        <v>30</v>
      </c>
      <c r="K644" t="s">
        <v>30</v>
      </c>
      <c r="L644" t="s">
        <v>31</v>
      </c>
      <c r="M644" t="s">
        <v>39</v>
      </c>
      <c r="N644">
        <v>5</v>
      </c>
      <c r="O644">
        <v>3</v>
      </c>
      <c r="P644">
        <v>0</v>
      </c>
      <c r="Q644">
        <v>1268.871315600288</v>
      </c>
      <c r="R644">
        <v>8.626887131560029</v>
      </c>
      <c r="S644">
        <v>147.0833333333333</v>
      </c>
      <c r="T644">
        <v>0</v>
      </c>
      <c r="U644">
        <v>1</v>
      </c>
      <c r="V644">
        <v>0</v>
      </c>
      <c r="W644">
        <v>8.169336395928386</v>
      </c>
      <c r="X644">
        <v>0</v>
      </c>
    </row>
    <row r="645" spans="1:24">
      <c r="A645" t="s">
        <v>1974</v>
      </c>
      <c r="B645" t="s">
        <v>1975</v>
      </c>
      <c r="C645" t="s">
        <v>26</v>
      </c>
      <c r="D645">
        <v>4.741</v>
      </c>
      <c r="E645">
        <v>4711</v>
      </c>
      <c r="F645">
        <v>8</v>
      </c>
      <c r="G645" t="s">
        <v>47</v>
      </c>
      <c r="H645" t="s">
        <v>1976</v>
      </c>
      <c r="I645" t="s">
        <v>29</v>
      </c>
      <c r="J645" t="s">
        <v>31</v>
      </c>
      <c r="K645" t="s">
        <v>30</v>
      </c>
      <c r="L645" t="s">
        <v>38</v>
      </c>
      <c r="M645" t="s">
        <v>97</v>
      </c>
      <c r="N645">
        <v>5</v>
      </c>
      <c r="O645">
        <v>3</v>
      </c>
      <c r="P645">
        <v>0</v>
      </c>
      <c r="Q645">
        <v>993.6722210504114</v>
      </c>
      <c r="R645">
        <v>1.687407719890319</v>
      </c>
      <c r="S645">
        <v>588.875</v>
      </c>
      <c r="T645">
        <v>0</v>
      </c>
      <c r="U645">
        <v>1</v>
      </c>
      <c r="V645">
        <v>0</v>
      </c>
      <c r="W645">
        <v>8.457867725331422</v>
      </c>
      <c r="X645">
        <v>0</v>
      </c>
    </row>
    <row r="646" spans="1:24">
      <c r="A646" t="s">
        <v>1977</v>
      </c>
      <c r="B646" t="s">
        <v>1978</v>
      </c>
      <c r="C646" t="s">
        <v>35</v>
      </c>
      <c r="D646">
        <v>1.681</v>
      </c>
      <c r="E646">
        <v>1461</v>
      </c>
      <c r="F646">
        <v>20</v>
      </c>
      <c r="G646" t="s">
        <v>47</v>
      </c>
      <c r="H646" t="s">
        <v>1979</v>
      </c>
      <c r="I646" t="s">
        <v>29</v>
      </c>
      <c r="J646" t="s">
        <v>31</v>
      </c>
      <c r="K646" t="s">
        <v>30</v>
      </c>
      <c r="L646" t="s">
        <v>31</v>
      </c>
      <c r="M646" t="s">
        <v>39</v>
      </c>
      <c r="N646">
        <v>5</v>
      </c>
      <c r="O646">
        <v>3</v>
      </c>
      <c r="P646">
        <v>0</v>
      </c>
      <c r="Q646">
        <v>869.1255205234979</v>
      </c>
      <c r="R646">
        <v>11.89767995240928</v>
      </c>
      <c r="S646">
        <v>73.05</v>
      </c>
      <c r="T646">
        <v>0</v>
      </c>
      <c r="U646">
        <v>1</v>
      </c>
      <c r="V646">
        <v>0</v>
      </c>
      <c r="W646">
        <v>7.287560640309724</v>
      </c>
      <c r="X646">
        <v>0</v>
      </c>
    </row>
    <row r="647" spans="1:24">
      <c r="A647" t="s">
        <v>1980</v>
      </c>
      <c r="B647" t="s">
        <v>1981</v>
      </c>
      <c r="C647" t="s">
        <v>26</v>
      </c>
      <c r="D647">
        <v>7.143</v>
      </c>
      <c r="E647">
        <v>1007</v>
      </c>
      <c r="F647">
        <v>16</v>
      </c>
      <c r="G647" t="s">
        <v>47</v>
      </c>
      <c r="H647" t="s">
        <v>1982</v>
      </c>
      <c r="I647" t="s">
        <v>29</v>
      </c>
      <c r="J647" t="s">
        <v>31</v>
      </c>
      <c r="K647" t="s">
        <v>30</v>
      </c>
      <c r="L647" t="s">
        <v>31</v>
      </c>
      <c r="M647" t="s">
        <v>39</v>
      </c>
      <c r="N647">
        <v>5</v>
      </c>
      <c r="O647">
        <v>3</v>
      </c>
      <c r="P647">
        <v>0</v>
      </c>
      <c r="Q647">
        <v>140.9771804563909</v>
      </c>
      <c r="R647">
        <v>2.239955200895982</v>
      </c>
      <c r="S647">
        <v>62.9375</v>
      </c>
      <c r="T647">
        <v>0</v>
      </c>
      <c r="U647">
        <v>1</v>
      </c>
      <c r="V647">
        <v>0</v>
      </c>
      <c r="W647">
        <v>6.915723448631314</v>
      </c>
      <c r="X647">
        <v>0</v>
      </c>
    </row>
    <row r="648" spans="1:24">
      <c r="A648" t="s">
        <v>1983</v>
      </c>
      <c r="B648" t="s">
        <v>1984</v>
      </c>
      <c r="C648" t="s">
        <v>35</v>
      </c>
      <c r="D648">
        <v>3.68</v>
      </c>
      <c r="E648">
        <v>23750</v>
      </c>
      <c r="F648">
        <v>146</v>
      </c>
      <c r="G648" t="s">
        <v>36</v>
      </c>
      <c r="H648" t="s">
        <v>1985</v>
      </c>
      <c r="I648" t="s">
        <v>49</v>
      </c>
      <c r="J648" t="s">
        <v>38</v>
      </c>
      <c r="K648" t="s">
        <v>38</v>
      </c>
      <c r="L648" t="s">
        <v>30</v>
      </c>
      <c r="M648" t="s">
        <v>97</v>
      </c>
      <c r="N648">
        <v>5</v>
      </c>
      <c r="O648">
        <v>3</v>
      </c>
      <c r="P648">
        <v>0</v>
      </c>
      <c r="Q648">
        <v>6453.804347826087</v>
      </c>
      <c r="R648">
        <v>39.67391304347826</v>
      </c>
      <c r="S648">
        <v>162.6712328767123</v>
      </c>
      <c r="T648">
        <v>0</v>
      </c>
      <c r="U648">
        <v>1</v>
      </c>
      <c r="V648">
        <v>1</v>
      </c>
      <c r="W648">
        <v>10.07537991383954</v>
      </c>
      <c r="X648">
        <v>1</v>
      </c>
    </row>
    <row r="649" spans="1:24">
      <c r="A649" t="s">
        <v>1986</v>
      </c>
      <c r="B649" t="s">
        <v>1987</v>
      </c>
      <c r="C649" t="s">
        <v>35</v>
      </c>
      <c r="D649">
        <v>1.904</v>
      </c>
      <c r="E649">
        <v>1866</v>
      </c>
      <c r="F649">
        <v>33</v>
      </c>
      <c r="G649" t="s">
        <v>47</v>
      </c>
      <c r="H649" t="s">
        <v>1988</v>
      </c>
      <c r="I649" t="s">
        <v>29</v>
      </c>
      <c r="J649" t="s">
        <v>31</v>
      </c>
      <c r="K649" t="s">
        <v>31</v>
      </c>
      <c r="L649" t="s">
        <v>30</v>
      </c>
      <c r="M649" t="s">
        <v>39</v>
      </c>
      <c r="N649">
        <v>5</v>
      </c>
      <c r="O649">
        <v>3</v>
      </c>
      <c r="P649">
        <v>0</v>
      </c>
      <c r="Q649">
        <v>980.0420168067228</v>
      </c>
      <c r="R649">
        <v>17.33193277310924</v>
      </c>
      <c r="S649">
        <v>56.54545454545455</v>
      </c>
      <c r="T649">
        <v>0</v>
      </c>
      <c r="U649">
        <v>1</v>
      </c>
      <c r="V649">
        <v>0</v>
      </c>
      <c r="W649">
        <v>7.532088143541722</v>
      </c>
      <c r="X649">
        <v>0</v>
      </c>
    </row>
    <row r="650" spans="1:24">
      <c r="A650" t="s">
        <v>1989</v>
      </c>
      <c r="B650" t="s">
        <v>1990</v>
      </c>
      <c r="C650" t="s">
        <v>35</v>
      </c>
      <c r="D650">
        <v>5.837</v>
      </c>
      <c r="E650">
        <v>3103</v>
      </c>
      <c r="F650">
        <v>19</v>
      </c>
      <c r="G650" t="s">
        <v>47</v>
      </c>
      <c r="H650" t="s">
        <v>1991</v>
      </c>
      <c r="I650" t="s">
        <v>29</v>
      </c>
      <c r="J650" t="s">
        <v>31</v>
      </c>
      <c r="K650" t="s">
        <v>30</v>
      </c>
      <c r="L650" t="s">
        <v>31</v>
      </c>
      <c r="M650" t="s">
        <v>97</v>
      </c>
      <c r="N650">
        <v>6</v>
      </c>
      <c r="O650">
        <v>3</v>
      </c>
      <c r="P650">
        <v>0</v>
      </c>
      <c r="Q650">
        <v>531.608703100908</v>
      </c>
      <c r="R650">
        <v>3.255096796299469</v>
      </c>
      <c r="S650">
        <v>163.3157894736842</v>
      </c>
      <c r="T650">
        <v>0</v>
      </c>
      <c r="U650">
        <v>0</v>
      </c>
      <c r="V650">
        <v>0</v>
      </c>
      <c r="W650">
        <v>8.04044688130311</v>
      </c>
      <c r="X650">
        <v>0</v>
      </c>
    </row>
    <row r="651" spans="1:24">
      <c r="A651" t="s">
        <v>1992</v>
      </c>
      <c r="B651" t="s">
        <v>1993</v>
      </c>
      <c r="C651" t="s">
        <v>35</v>
      </c>
      <c r="D651">
        <v>0.044</v>
      </c>
      <c r="E651">
        <v>3302</v>
      </c>
      <c r="F651">
        <v>2</v>
      </c>
      <c r="G651" t="s">
        <v>27</v>
      </c>
      <c r="H651" t="s">
        <v>1994</v>
      </c>
      <c r="I651" t="s">
        <v>90</v>
      </c>
      <c r="J651" t="s">
        <v>30</v>
      </c>
      <c r="K651" t="s">
        <v>30</v>
      </c>
      <c r="L651" t="s">
        <v>30</v>
      </c>
      <c r="M651" t="s">
        <v>83</v>
      </c>
      <c r="N651">
        <v>6</v>
      </c>
      <c r="O651">
        <v>3</v>
      </c>
      <c r="P651">
        <v>0</v>
      </c>
      <c r="Q651">
        <v>75045.45454545454</v>
      </c>
      <c r="R651">
        <v>45.45454545454546</v>
      </c>
      <c r="S651">
        <v>1651</v>
      </c>
      <c r="T651">
        <v>0</v>
      </c>
      <c r="U651">
        <v>0</v>
      </c>
      <c r="V651">
        <v>0</v>
      </c>
      <c r="W651">
        <v>8.10258642539079</v>
      </c>
      <c r="X651">
        <v>1</v>
      </c>
    </row>
    <row r="652" spans="1:24">
      <c r="A652" t="s">
        <v>1995</v>
      </c>
      <c r="B652" t="s">
        <v>1996</v>
      </c>
      <c r="C652" t="s">
        <v>35</v>
      </c>
      <c r="D652">
        <v>13.406</v>
      </c>
      <c r="E652">
        <v>3771</v>
      </c>
      <c r="F652">
        <v>29</v>
      </c>
      <c r="G652" t="s">
        <v>62</v>
      </c>
      <c r="H652" t="s">
        <v>1997</v>
      </c>
      <c r="I652" t="s">
        <v>29</v>
      </c>
      <c r="J652" t="s">
        <v>30</v>
      </c>
      <c r="K652" t="s">
        <v>30</v>
      </c>
      <c r="L652" t="s">
        <v>31</v>
      </c>
      <c r="M652" t="s">
        <v>83</v>
      </c>
      <c r="N652">
        <v>6</v>
      </c>
      <c r="O652">
        <v>3</v>
      </c>
      <c r="P652">
        <v>0</v>
      </c>
      <c r="Q652">
        <v>281.2919588244069</v>
      </c>
      <c r="R652">
        <v>2.163210502759958</v>
      </c>
      <c r="S652">
        <v>130.0344827586207</v>
      </c>
      <c r="T652">
        <v>0</v>
      </c>
      <c r="U652">
        <v>0</v>
      </c>
      <c r="V652">
        <v>0</v>
      </c>
      <c r="W652">
        <v>8.235360643753348</v>
      </c>
      <c r="X652">
        <v>0</v>
      </c>
    </row>
    <row r="653" spans="1:24">
      <c r="A653" t="s">
        <v>1998</v>
      </c>
      <c r="B653" t="s">
        <v>1999</v>
      </c>
      <c r="C653" t="s">
        <v>35</v>
      </c>
      <c r="D653">
        <v>7.001</v>
      </c>
      <c r="E653">
        <v>1249</v>
      </c>
      <c r="F653">
        <v>20</v>
      </c>
      <c r="G653" t="s">
        <v>62</v>
      </c>
      <c r="H653" t="s">
        <v>2000</v>
      </c>
      <c r="I653" t="s">
        <v>29</v>
      </c>
      <c r="J653" t="s">
        <v>30</v>
      </c>
      <c r="K653" t="s">
        <v>30</v>
      </c>
      <c r="L653" t="s">
        <v>31</v>
      </c>
      <c r="M653" t="s">
        <v>97</v>
      </c>
      <c r="N653">
        <v>6</v>
      </c>
      <c r="O653">
        <v>3</v>
      </c>
      <c r="P653">
        <v>0</v>
      </c>
      <c r="Q653">
        <v>178.4030852735324</v>
      </c>
      <c r="R653">
        <v>2.85673475217826</v>
      </c>
      <c r="S653">
        <v>62.45</v>
      </c>
      <c r="T653">
        <v>0</v>
      </c>
      <c r="U653">
        <v>0</v>
      </c>
      <c r="V653">
        <v>0</v>
      </c>
      <c r="W653">
        <v>7.130898830296347</v>
      </c>
      <c r="X653">
        <v>0</v>
      </c>
    </row>
    <row r="654" spans="1:24">
      <c r="A654" t="s">
        <v>2001</v>
      </c>
      <c r="B654" t="s">
        <v>2002</v>
      </c>
      <c r="C654" t="s">
        <v>35</v>
      </c>
      <c r="D654">
        <v>0.188</v>
      </c>
      <c r="E654">
        <v>2216</v>
      </c>
      <c r="F654">
        <v>1</v>
      </c>
      <c r="G654" t="s">
        <v>27</v>
      </c>
      <c r="H654" t="s">
        <v>2003</v>
      </c>
      <c r="I654" t="s">
        <v>90</v>
      </c>
      <c r="J654" t="s">
        <v>30</v>
      </c>
      <c r="K654" t="s">
        <v>38</v>
      </c>
      <c r="L654" t="s">
        <v>31</v>
      </c>
      <c r="M654" t="s">
        <v>76</v>
      </c>
      <c r="N654">
        <v>6</v>
      </c>
      <c r="O654">
        <v>3</v>
      </c>
      <c r="P654">
        <v>0</v>
      </c>
      <c r="Q654">
        <v>11787.23404255319</v>
      </c>
      <c r="R654">
        <v>5.319148936170213</v>
      </c>
      <c r="S654">
        <v>2216</v>
      </c>
      <c r="T654">
        <v>0</v>
      </c>
      <c r="U654">
        <v>0</v>
      </c>
      <c r="V654">
        <v>0</v>
      </c>
      <c r="W654">
        <v>7.703910209616311</v>
      </c>
      <c r="X654">
        <v>1</v>
      </c>
    </row>
    <row r="655" spans="1:24">
      <c r="A655" t="s">
        <v>2004</v>
      </c>
      <c r="B655" t="s">
        <v>2005</v>
      </c>
      <c r="C655" t="s">
        <v>130</v>
      </c>
      <c r="D655">
        <v>11.209</v>
      </c>
      <c r="E655">
        <v>1551</v>
      </c>
      <c r="F655">
        <v>13</v>
      </c>
      <c r="G655" t="s">
        <v>47</v>
      </c>
      <c r="H655" t="s">
        <v>2006</v>
      </c>
      <c r="I655" t="s">
        <v>29</v>
      </c>
      <c r="J655" t="s">
        <v>31</v>
      </c>
      <c r="K655" t="s">
        <v>30</v>
      </c>
      <c r="L655" t="s">
        <v>30</v>
      </c>
      <c r="M655" t="s">
        <v>39</v>
      </c>
      <c r="N655">
        <v>6</v>
      </c>
      <c r="O655">
        <v>3</v>
      </c>
      <c r="P655">
        <v>0</v>
      </c>
      <c r="Q655">
        <v>138.3709519136408</v>
      </c>
      <c r="R655">
        <v>1.159782317780355</v>
      </c>
      <c r="S655">
        <v>119.3076923076923</v>
      </c>
      <c r="T655">
        <v>0</v>
      </c>
      <c r="U655">
        <v>0</v>
      </c>
      <c r="V655">
        <v>0</v>
      </c>
      <c r="W655">
        <v>7.347299700743164</v>
      </c>
      <c r="X655">
        <v>0</v>
      </c>
    </row>
    <row r="656" spans="1:24">
      <c r="A656" t="s">
        <v>2007</v>
      </c>
      <c r="B656" t="s">
        <v>2008</v>
      </c>
      <c r="C656" t="s">
        <v>26</v>
      </c>
      <c r="D656">
        <v>2.188</v>
      </c>
      <c r="E656">
        <v>6374</v>
      </c>
      <c r="F656">
        <v>20</v>
      </c>
      <c r="G656" t="s">
        <v>36</v>
      </c>
      <c r="H656" t="s">
        <v>2009</v>
      </c>
      <c r="I656" t="s">
        <v>29</v>
      </c>
      <c r="J656" t="s">
        <v>38</v>
      </c>
      <c r="K656" t="s">
        <v>30</v>
      </c>
      <c r="L656" t="s">
        <v>30</v>
      </c>
      <c r="M656" t="s">
        <v>76</v>
      </c>
      <c r="N656">
        <v>6</v>
      </c>
      <c r="O656">
        <v>3</v>
      </c>
      <c r="P656">
        <v>0</v>
      </c>
      <c r="Q656">
        <v>2913.162705667276</v>
      </c>
      <c r="R656">
        <v>9.140767824497257</v>
      </c>
      <c r="S656">
        <v>318.7</v>
      </c>
      <c r="T656">
        <v>0</v>
      </c>
      <c r="U656">
        <v>0</v>
      </c>
      <c r="V656">
        <v>0</v>
      </c>
      <c r="W656">
        <v>8.760139370026627</v>
      </c>
      <c r="X656">
        <v>0</v>
      </c>
    </row>
    <row r="657" spans="1:24">
      <c r="A657" t="s">
        <v>2010</v>
      </c>
      <c r="B657" t="s">
        <v>2011</v>
      </c>
      <c r="C657" t="s">
        <v>35</v>
      </c>
      <c r="D657">
        <v>3.187</v>
      </c>
      <c r="E657">
        <v>2160</v>
      </c>
      <c r="F657">
        <v>12</v>
      </c>
      <c r="G657" t="s">
        <v>27</v>
      </c>
      <c r="H657" t="s">
        <v>2012</v>
      </c>
      <c r="I657" t="s">
        <v>29</v>
      </c>
      <c r="J657" t="s">
        <v>30</v>
      </c>
      <c r="K657" t="s">
        <v>30</v>
      </c>
      <c r="L657" t="s">
        <v>30</v>
      </c>
      <c r="M657" t="s">
        <v>97</v>
      </c>
      <c r="N657">
        <v>6</v>
      </c>
      <c r="O657">
        <v>3</v>
      </c>
      <c r="P657">
        <v>0</v>
      </c>
      <c r="Q657">
        <v>677.7533730781299</v>
      </c>
      <c r="R657">
        <v>3.765296517100722</v>
      </c>
      <c r="S657">
        <v>180</v>
      </c>
      <c r="T657">
        <v>0</v>
      </c>
      <c r="U657">
        <v>0</v>
      </c>
      <c r="V657">
        <v>0</v>
      </c>
      <c r="W657">
        <v>7.678326356506885</v>
      </c>
      <c r="X657">
        <v>0</v>
      </c>
    </row>
    <row r="658" spans="1:24">
      <c r="A658" t="s">
        <v>2013</v>
      </c>
      <c r="B658" t="s">
        <v>2014</v>
      </c>
      <c r="C658" t="s">
        <v>52</v>
      </c>
      <c r="D658">
        <v>6.837</v>
      </c>
      <c r="E658">
        <v>5654</v>
      </c>
      <c r="F658">
        <v>27</v>
      </c>
      <c r="G658" t="s">
        <v>36</v>
      </c>
      <c r="H658" t="s">
        <v>2015</v>
      </c>
      <c r="I658" t="s">
        <v>29</v>
      </c>
      <c r="J658" t="s">
        <v>38</v>
      </c>
      <c r="K658" t="s">
        <v>31</v>
      </c>
      <c r="L658" t="s">
        <v>38</v>
      </c>
      <c r="M658" t="s">
        <v>83</v>
      </c>
      <c r="N658">
        <v>6</v>
      </c>
      <c r="O658">
        <v>3</v>
      </c>
      <c r="P658">
        <v>0</v>
      </c>
      <c r="Q658">
        <v>826.9708936668129</v>
      </c>
      <c r="R658">
        <v>3.949100482667837</v>
      </c>
      <c r="S658">
        <v>209.4074074074074</v>
      </c>
      <c r="T658">
        <v>0</v>
      </c>
      <c r="U658">
        <v>0</v>
      </c>
      <c r="V658">
        <v>0</v>
      </c>
      <c r="W658">
        <v>8.640295388550221</v>
      </c>
      <c r="X658">
        <v>0</v>
      </c>
    </row>
    <row r="659" spans="1:24">
      <c r="A659" t="s">
        <v>2016</v>
      </c>
      <c r="B659" t="s">
        <v>2017</v>
      </c>
      <c r="C659" t="s">
        <v>35</v>
      </c>
      <c r="D659">
        <v>1.652</v>
      </c>
      <c r="E659">
        <v>3413</v>
      </c>
      <c r="F659">
        <v>21</v>
      </c>
      <c r="G659" t="s">
        <v>27</v>
      </c>
      <c r="H659" t="s">
        <v>2018</v>
      </c>
      <c r="I659" t="s">
        <v>29</v>
      </c>
      <c r="J659" t="s">
        <v>30</v>
      </c>
      <c r="K659" t="s">
        <v>31</v>
      </c>
      <c r="L659" t="s">
        <v>31</v>
      </c>
      <c r="M659" t="s">
        <v>97</v>
      </c>
      <c r="N659">
        <v>6</v>
      </c>
      <c r="O659">
        <v>3</v>
      </c>
      <c r="P659">
        <v>0</v>
      </c>
      <c r="Q659">
        <v>2065.980629539952</v>
      </c>
      <c r="R659">
        <v>12.71186440677966</v>
      </c>
      <c r="S659">
        <v>162.5238095238095</v>
      </c>
      <c r="T659">
        <v>0</v>
      </c>
      <c r="U659">
        <v>0</v>
      </c>
      <c r="V659">
        <v>0</v>
      </c>
      <c r="W659">
        <v>8.135639903354386</v>
      </c>
      <c r="X659">
        <v>0</v>
      </c>
    </row>
    <row r="660" spans="1:24">
      <c r="A660" t="s">
        <v>2019</v>
      </c>
      <c r="B660" t="s">
        <v>2020</v>
      </c>
      <c r="C660" t="s">
        <v>35</v>
      </c>
      <c r="D660">
        <v>0.502</v>
      </c>
      <c r="E660">
        <v>3572</v>
      </c>
      <c r="F660">
        <v>16</v>
      </c>
      <c r="G660" t="s">
        <v>62</v>
      </c>
      <c r="H660" t="s">
        <v>2021</v>
      </c>
      <c r="I660" t="s">
        <v>29</v>
      </c>
      <c r="J660" t="s">
        <v>30</v>
      </c>
      <c r="K660" t="s">
        <v>30</v>
      </c>
      <c r="L660" t="s">
        <v>31</v>
      </c>
      <c r="M660" t="s">
        <v>76</v>
      </c>
      <c r="N660">
        <v>6</v>
      </c>
      <c r="O660">
        <v>3</v>
      </c>
      <c r="P660">
        <v>0</v>
      </c>
      <c r="Q660">
        <v>7115.537848605578</v>
      </c>
      <c r="R660">
        <v>31.87250996015936</v>
      </c>
      <c r="S660">
        <v>223.25</v>
      </c>
      <c r="T660">
        <v>0</v>
      </c>
      <c r="U660">
        <v>0</v>
      </c>
      <c r="V660">
        <v>0</v>
      </c>
      <c r="W660">
        <v>8.181160858023409</v>
      </c>
      <c r="X660">
        <v>0</v>
      </c>
    </row>
    <row r="661" spans="1:24">
      <c r="A661" t="s">
        <v>2022</v>
      </c>
      <c r="B661" t="s">
        <v>2023</v>
      </c>
      <c r="C661" t="s">
        <v>26</v>
      </c>
      <c r="D661">
        <v>13.301</v>
      </c>
      <c r="E661">
        <v>9250</v>
      </c>
      <c r="F661">
        <v>20</v>
      </c>
      <c r="G661" t="s">
        <v>47</v>
      </c>
      <c r="H661" t="s">
        <v>2024</v>
      </c>
      <c r="I661" t="s">
        <v>29</v>
      </c>
      <c r="J661" t="s">
        <v>31</v>
      </c>
      <c r="K661" t="s">
        <v>30</v>
      </c>
      <c r="L661" t="s">
        <v>31</v>
      </c>
      <c r="M661" t="s">
        <v>97</v>
      </c>
      <c r="N661">
        <v>6</v>
      </c>
      <c r="O661">
        <v>3</v>
      </c>
      <c r="P661">
        <v>0</v>
      </c>
      <c r="Q661">
        <v>695.4364333508759</v>
      </c>
      <c r="R661">
        <v>1.503646342380272</v>
      </c>
      <c r="S661">
        <v>462.5</v>
      </c>
      <c r="T661">
        <v>0</v>
      </c>
      <c r="U661">
        <v>0</v>
      </c>
      <c r="V661">
        <v>0</v>
      </c>
      <c r="W661">
        <v>9.132486932771318</v>
      </c>
      <c r="X661">
        <v>0</v>
      </c>
    </row>
    <row r="662" spans="1:24">
      <c r="A662" t="s">
        <v>2025</v>
      </c>
      <c r="B662" t="s">
        <v>2026</v>
      </c>
      <c r="C662" t="s">
        <v>35</v>
      </c>
      <c r="D662">
        <v>2.369</v>
      </c>
      <c r="E662">
        <v>3099</v>
      </c>
      <c r="F662">
        <v>15</v>
      </c>
      <c r="G662" t="s">
        <v>62</v>
      </c>
      <c r="H662" t="s">
        <v>2027</v>
      </c>
      <c r="I662" t="s">
        <v>29</v>
      </c>
      <c r="J662" t="s">
        <v>30</v>
      </c>
      <c r="K662" t="s">
        <v>30</v>
      </c>
      <c r="L662" t="s">
        <v>31</v>
      </c>
      <c r="M662" t="s">
        <v>44</v>
      </c>
      <c r="N662">
        <v>7</v>
      </c>
      <c r="O662">
        <v>3</v>
      </c>
      <c r="P662">
        <v>0</v>
      </c>
      <c r="Q662">
        <v>1308.146897425074</v>
      </c>
      <c r="R662">
        <v>6.331785563528914</v>
      </c>
      <c r="S662">
        <v>206.6</v>
      </c>
      <c r="T662">
        <v>0</v>
      </c>
      <c r="U662">
        <v>0</v>
      </c>
      <c r="V662">
        <v>0</v>
      </c>
      <c r="W662">
        <v>8.039157390473237</v>
      </c>
      <c r="X662">
        <v>0</v>
      </c>
    </row>
    <row r="663" spans="1:24">
      <c r="A663" t="s">
        <v>2028</v>
      </c>
      <c r="B663" t="s">
        <v>2029</v>
      </c>
      <c r="C663" t="s">
        <v>35</v>
      </c>
      <c r="D663">
        <v>1.818</v>
      </c>
      <c r="E663">
        <v>1007</v>
      </c>
      <c r="F663">
        <v>19</v>
      </c>
      <c r="G663" t="s">
        <v>36</v>
      </c>
      <c r="H663" t="s">
        <v>2030</v>
      </c>
      <c r="I663" t="s">
        <v>29</v>
      </c>
      <c r="J663" t="s">
        <v>38</v>
      </c>
      <c r="K663" t="s">
        <v>30</v>
      </c>
      <c r="L663" t="s">
        <v>31</v>
      </c>
      <c r="M663" t="s">
        <v>97</v>
      </c>
      <c r="N663">
        <v>7</v>
      </c>
      <c r="O663">
        <v>3</v>
      </c>
      <c r="P663">
        <v>0</v>
      </c>
      <c r="Q663">
        <v>553.9053905390539</v>
      </c>
      <c r="R663">
        <v>10.45104510451045</v>
      </c>
      <c r="S663">
        <v>53</v>
      </c>
      <c r="T663">
        <v>0</v>
      </c>
      <c r="U663">
        <v>0</v>
      </c>
      <c r="V663">
        <v>0</v>
      </c>
      <c r="W663">
        <v>6.915723448631314</v>
      </c>
      <c r="X663">
        <v>0</v>
      </c>
    </row>
    <row r="664" spans="1:24">
      <c r="A664" t="s">
        <v>2031</v>
      </c>
      <c r="B664" t="s">
        <v>2032</v>
      </c>
      <c r="C664" t="s">
        <v>35</v>
      </c>
      <c r="D664">
        <v>3.249</v>
      </c>
      <c r="E664">
        <v>68781</v>
      </c>
      <c r="F664">
        <v>94</v>
      </c>
      <c r="G664" t="s">
        <v>62</v>
      </c>
      <c r="H664" t="s">
        <v>2033</v>
      </c>
      <c r="I664" t="s">
        <v>49</v>
      </c>
      <c r="J664" t="s">
        <v>30</v>
      </c>
      <c r="K664" t="s">
        <v>30</v>
      </c>
      <c r="L664" t="s">
        <v>30</v>
      </c>
      <c r="M664" t="s">
        <v>44</v>
      </c>
      <c r="N664">
        <v>7</v>
      </c>
      <c r="O664">
        <v>3</v>
      </c>
      <c r="P664">
        <v>0</v>
      </c>
      <c r="Q664">
        <v>21169.89843028624</v>
      </c>
      <c r="R664">
        <v>28.93197907048322</v>
      </c>
      <c r="S664">
        <v>731.7127659574468</v>
      </c>
      <c r="T664">
        <v>0</v>
      </c>
      <c r="U664">
        <v>0</v>
      </c>
      <c r="V664">
        <v>1</v>
      </c>
      <c r="W664">
        <v>11.13869736178391</v>
      </c>
      <c r="X664">
        <v>1</v>
      </c>
    </row>
    <row r="665" spans="1:24">
      <c r="A665" t="s">
        <v>2034</v>
      </c>
      <c r="B665" t="s">
        <v>2035</v>
      </c>
      <c r="C665" t="s">
        <v>26</v>
      </c>
      <c r="D665">
        <v>4.523</v>
      </c>
      <c r="E665">
        <v>1017</v>
      </c>
      <c r="F665">
        <v>16</v>
      </c>
      <c r="G665" t="s">
        <v>27</v>
      </c>
      <c r="H665" t="s">
        <v>2036</v>
      </c>
      <c r="I665" t="s">
        <v>29</v>
      </c>
      <c r="J665" t="s">
        <v>30</v>
      </c>
      <c r="K665" t="s">
        <v>30</v>
      </c>
      <c r="L665" t="s">
        <v>31</v>
      </c>
      <c r="M665" t="s">
        <v>44</v>
      </c>
      <c r="N665">
        <v>7</v>
      </c>
      <c r="O665">
        <v>3</v>
      </c>
      <c r="P665">
        <v>0</v>
      </c>
      <c r="Q665">
        <v>224.8507627680743</v>
      </c>
      <c r="R665">
        <v>3.537475127128013</v>
      </c>
      <c r="S665">
        <v>63.5625</v>
      </c>
      <c r="T665">
        <v>0</v>
      </c>
      <c r="U665">
        <v>0</v>
      </c>
      <c r="V665">
        <v>0</v>
      </c>
      <c r="W665">
        <v>6.925595197110468</v>
      </c>
      <c r="X665">
        <v>0</v>
      </c>
    </row>
    <row r="666" spans="1:24">
      <c r="A666" t="s">
        <v>2037</v>
      </c>
      <c r="B666" t="s">
        <v>2038</v>
      </c>
      <c r="C666" t="s">
        <v>35</v>
      </c>
      <c r="D666">
        <v>4.923</v>
      </c>
      <c r="E666">
        <v>4303</v>
      </c>
      <c r="F666">
        <v>22</v>
      </c>
      <c r="G666" t="s">
        <v>36</v>
      </c>
      <c r="H666" t="s">
        <v>2039</v>
      </c>
      <c r="I666" t="s">
        <v>29</v>
      </c>
      <c r="J666" t="s">
        <v>38</v>
      </c>
      <c r="K666" t="s">
        <v>30</v>
      </c>
      <c r="L666" t="s">
        <v>30</v>
      </c>
      <c r="M666" t="s">
        <v>76</v>
      </c>
      <c r="N666">
        <v>7</v>
      </c>
      <c r="O666">
        <v>3</v>
      </c>
      <c r="P666">
        <v>0</v>
      </c>
      <c r="Q666">
        <v>874.0605321958155</v>
      </c>
      <c r="R666">
        <v>4.468819825309771</v>
      </c>
      <c r="S666">
        <v>195.5909090909091</v>
      </c>
      <c r="T666">
        <v>0</v>
      </c>
      <c r="U666">
        <v>0</v>
      </c>
      <c r="V666">
        <v>0</v>
      </c>
      <c r="W666">
        <v>8.36730010184162</v>
      </c>
      <c r="X666">
        <v>0</v>
      </c>
    </row>
    <row r="667" spans="1:24">
      <c r="A667" t="s">
        <v>2040</v>
      </c>
      <c r="B667" t="s">
        <v>2041</v>
      </c>
      <c r="C667" t="s">
        <v>35</v>
      </c>
      <c r="D667">
        <v>4.531</v>
      </c>
      <c r="E667">
        <v>2708</v>
      </c>
      <c r="F667">
        <v>16</v>
      </c>
      <c r="G667" t="s">
        <v>47</v>
      </c>
      <c r="H667" t="s">
        <v>2042</v>
      </c>
      <c r="I667" t="s">
        <v>29</v>
      </c>
      <c r="J667" t="s">
        <v>31</v>
      </c>
      <c r="K667" t="s">
        <v>31</v>
      </c>
      <c r="L667" t="s">
        <v>31</v>
      </c>
      <c r="M667" t="s">
        <v>97</v>
      </c>
      <c r="N667">
        <v>7</v>
      </c>
      <c r="O667">
        <v>3</v>
      </c>
      <c r="P667">
        <v>0</v>
      </c>
      <c r="Q667">
        <v>597.6605605826529</v>
      </c>
      <c r="R667">
        <v>3.531229309203267</v>
      </c>
      <c r="S667">
        <v>169.25</v>
      </c>
      <c r="T667">
        <v>0</v>
      </c>
      <c r="U667">
        <v>0</v>
      </c>
      <c r="V667">
        <v>0</v>
      </c>
      <c r="W667">
        <v>7.904334842085095</v>
      </c>
      <c r="X667">
        <v>0</v>
      </c>
    </row>
    <row r="668" spans="1:24">
      <c r="A668" t="s">
        <v>2043</v>
      </c>
      <c r="B668" t="s">
        <v>2044</v>
      </c>
      <c r="C668" t="s">
        <v>35</v>
      </c>
      <c r="D668">
        <v>4.882</v>
      </c>
      <c r="E668">
        <v>1000</v>
      </c>
      <c r="F668">
        <v>16</v>
      </c>
      <c r="G668" t="s">
        <v>62</v>
      </c>
      <c r="H668" t="s">
        <v>2045</v>
      </c>
      <c r="I668" t="s">
        <v>29</v>
      </c>
      <c r="J668" t="s">
        <v>30</v>
      </c>
      <c r="K668" t="s">
        <v>30</v>
      </c>
      <c r="L668" t="s">
        <v>31</v>
      </c>
      <c r="M668" t="s">
        <v>44</v>
      </c>
      <c r="N668">
        <v>7</v>
      </c>
      <c r="O668">
        <v>3</v>
      </c>
      <c r="P668">
        <v>0</v>
      </c>
      <c r="Q668">
        <v>204.8340843916428</v>
      </c>
      <c r="R668">
        <v>3.277345350266284</v>
      </c>
      <c r="S668">
        <v>62.5</v>
      </c>
      <c r="T668">
        <v>0</v>
      </c>
      <c r="U668">
        <v>0</v>
      </c>
      <c r="V668">
        <v>0</v>
      </c>
      <c r="W668">
        <v>6.90875477931522</v>
      </c>
      <c r="X668">
        <v>0</v>
      </c>
    </row>
    <row r="669" spans="1:24">
      <c r="A669" t="s">
        <v>2046</v>
      </c>
      <c r="B669" t="s">
        <v>2047</v>
      </c>
      <c r="C669" t="s">
        <v>35</v>
      </c>
      <c r="D669">
        <v>5.169</v>
      </c>
      <c r="E669">
        <v>1496</v>
      </c>
      <c r="F669">
        <v>23</v>
      </c>
      <c r="G669" t="s">
        <v>27</v>
      </c>
      <c r="H669" t="s">
        <v>2048</v>
      </c>
      <c r="I669" t="s">
        <v>29</v>
      </c>
      <c r="J669" t="s">
        <v>30</v>
      </c>
      <c r="K669" t="s">
        <v>31</v>
      </c>
      <c r="L669" t="s">
        <v>30</v>
      </c>
      <c r="M669" t="s">
        <v>44</v>
      </c>
      <c r="N669">
        <v>7</v>
      </c>
      <c r="O669">
        <v>3</v>
      </c>
      <c r="P669">
        <v>0</v>
      </c>
      <c r="Q669">
        <v>289.4176823370091</v>
      </c>
      <c r="R669">
        <v>4.44960340491391</v>
      </c>
      <c r="S669">
        <v>65.04347826086956</v>
      </c>
      <c r="T669">
        <v>0</v>
      </c>
      <c r="U669">
        <v>0</v>
      </c>
      <c r="V669">
        <v>0</v>
      </c>
      <c r="W669">
        <v>7.311218384419629</v>
      </c>
      <c r="X669">
        <v>0</v>
      </c>
    </row>
    <row r="670" spans="1:24">
      <c r="A670" t="s">
        <v>2049</v>
      </c>
      <c r="B670" t="s">
        <v>2050</v>
      </c>
      <c r="C670" t="s">
        <v>35</v>
      </c>
      <c r="D670">
        <v>0.757</v>
      </c>
      <c r="E670">
        <v>2464</v>
      </c>
      <c r="F670">
        <v>21</v>
      </c>
      <c r="G670" t="s">
        <v>27</v>
      </c>
      <c r="H670" t="s">
        <v>2051</v>
      </c>
      <c r="I670" t="s">
        <v>29</v>
      </c>
      <c r="J670" t="s">
        <v>30</v>
      </c>
      <c r="K670" t="s">
        <v>30</v>
      </c>
      <c r="L670" t="s">
        <v>31</v>
      </c>
      <c r="M670" t="s">
        <v>32</v>
      </c>
      <c r="N670">
        <v>7</v>
      </c>
      <c r="O670">
        <v>3</v>
      </c>
      <c r="P670">
        <v>0</v>
      </c>
      <c r="Q670">
        <v>3254.953764861295</v>
      </c>
      <c r="R670">
        <v>27.74108322324967</v>
      </c>
      <c r="S670">
        <v>117.3333333333333</v>
      </c>
      <c r="T670">
        <v>0</v>
      </c>
      <c r="U670">
        <v>0</v>
      </c>
      <c r="V670">
        <v>0</v>
      </c>
      <c r="W670">
        <v>7.80994708647679</v>
      </c>
      <c r="X670">
        <v>0</v>
      </c>
    </row>
    <row r="671" spans="1:24">
      <c r="A671" t="s">
        <v>2052</v>
      </c>
      <c r="B671" t="s">
        <v>2053</v>
      </c>
      <c r="C671" t="s">
        <v>35</v>
      </c>
      <c r="D671">
        <v>0.925</v>
      </c>
      <c r="E671">
        <v>4260</v>
      </c>
      <c r="F671">
        <v>21</v>
      </c>
      <c r="G671" t="s">
        <v>27</v>
      </c>
      <c r="H671" t="s">
        <v>2054</v>
      </c>
      <c r="I671" t="s">
        <v>29</v>
      </c>
      <c r="J671" t="s">
        <v>30</v>
      </c>
      <c r="K671" t="s">
        <v>31</v>
      </c>
      <c r="L671" t="s">
        <v>38</v>
      </c>
      <c r="M671" t="s">
        <v>39</v>
      </c>
      <c r="N671">
        <v>7</v>
      </c>
      <c r="O671">
        <v>3</v>
      </c>
      <c r="P671">
        <v>0</v>
      </c>
      <c r="Q671">
        <v>4605.405405405405</v>
      </c>
      <c r="R671">
        <v>22.7027027027027</v>
      </c>
      <c r="S671">
        <v>202.8571428571429</v>
      </c>
      <c r="T671">
        <v>0</v>
      </c>
      <c r="U671">
        <v>0</v>
      </c>
      <c r="V671">
        <v>0</v>
      </c>
      <c r="W671">
        <v>8.357259153499912</v>
      </c>
      <c r="X671">
        <v>0</v>
      </c>
    </row>
    <row r="672" spans="1:24">
      <c r="A672" t="s">
        <v>2055</v>
      </c>
      <c r="B672" t="s">
        <v>2056</v>
      </c>
      <c r="C672" t="s">
        <v>35</v>
      </c>
      <c r="D672">
        <v>1.256</v>
      </c>
      <c r="E672">
        <v>8779</v>
      </c>
      <c r="F672">
        <v>21</v>
      </c>
      <c r="G672" t="s">
        <v>47</v>
      </c>
      <c r="H672" t="s">
        <v>2057</v>
      </c>
      <c r="I672" t="s">
        <v>29</v>
      </c>
      <c r="J672" t="s">
        <v>31</v>
      </c>
      <c r="K672" t="s">
        <v>30</v>
      </c>
      <c r="L672" t="s">
        <v>30</v>
      </c>
      <c r="M672" t="s">
        <v>44</v>
      </c>
      <c r="N672">
        <v>7</v>
      </c>
      <c r="O672">
        <v>3</v>
      </c>
      <c r="P672">
        <v>0</v>
      </c>
      <c r="Q672">
        <v>6989.649681528663</v>
      </c>
      <c r="R672">
        <v>16.71974522292994</v>
      </c>
      <c r="S672">
        <v>418.047619047619</v>
      </c>
      <c r="T672">
        <v>0</v>
      </c>
      <c r="U672">
        <v>0</v>
      </c>
      <c r="V672">
        <v>0</v>
      </c>
      <c r="W672">
        <v>9.080231686629162</v>
      </c>
      <c r="X672">
        <v>0</v>
      </c>
    </row>
    <row r="673" spans="1:24">
      <c r="A673" t="s">
        <v>2058</v>
      </c>
      <c r="B673" t="s">
        <v>2059</v>
      </c>
      <c r="C673" t="s">
        <v>35</v>
      </c>
      <c r="D673">
        <v>9.638999999999999</v>
      </c>
      <c r="E673">
        <v>3085</v>
      </c>
      <c r="F673">
        <v>25</v>
      </c>
      <c r="G673" t="s">
        <v>36</v>
      </c>
      <c r="H673" t="s">
        <v>2060</v>
      </c>
      <c r="I673" t="s">
        <v>29</v>
      </c>
      <c r="J673" t="s">
        <v>38</v>
      </c>
      <c r="K673" t="s">
        <v>30</v>
      </c>
      <c r="L673" t="s">
        <v>31</v>
      </c>
      <c r="M673" t="s">
        <v>32</v>
      </c>
      <c r="N673">
        <v>7</v>
      </c>
      <c r="O673">
        <v>3</v>
      </c>
      <c r="P673">
        <v>0</v>
      </c>
      <c r="Q673">
        <v>320.0539475049279</v>
      </c>
      <c r="R673">
        <v>2.593630044610437</v>
      </c>
      <c r="S673">
        <v>123.4</v>
      </c>
      <c r="T673">
        <v>0</v>
      </c>
      <c r="U673">
        <v>0</v>
      </c>
      <c r="V673">
        <v>0</v>
      </c>
      <c r="W673">
        <v>8.034631032923107</v>
      </c>
      <c r="X673">
        <v>0</v>
      </c>
    </row>
    <row r="674" spans="1:24">
      <c r="A674" t="s">
        <v>2061</v>
      </c>
      <c r="B674" t="s">
        <v>2062</v>
      </c>
      <c r="C674" t="s">
        <v>26</v>
      </c>
      <c r="D674">
        <v>2.577</v>
      </c>
      <c r="E674">
        <v>1163</v>
      </c>
      <c r="F674">
        <v>18</v>
      </c>
      <c r="G674" t="s">
        <v>36</v>
      </c>
      <c r="H674" t="s">
        <v>2063</v>
      </c>
      <c r="I674" t="s">
        <v>29</v>
      </c>
      <c r="J674" t="s">
        <v>38</v>
      </c>
      <c r="K674" t="s">
        <v>30</v>
      </c>
      <c r="L674" t="s">
        <v>31</v>
      </c>
      <c r="M674" t="s">
        <v>97</v>
      </c>
      <c r="N674">
        <v>8</v>
      </c>
      <c r="O674">
        <v>3</v>
      </c>
      <c r="P674">
        <v>0</v>
      </c>
      <c r="Q674">
        <v>451.2999611951882</v>
      </c>
      <c r="R674">
        <v>6.984866123399302</v>
      </c>
      <c r="S674">
        <v>64.61111111111111</v>
      </c>
      <c r="T674">
        <v>0</v>
      </c>
      <c r="U674">
        <v>0</v>
      </c>
      <c r="V674">
        <v>0</v>
      </c>
      <c r="W674">
        <v>7.059617628291383</v>
      </c>
      <c r="X674">
        <v>0</v>
      </c>
    </row>
    <row r="675" spans="1:24">
      <c r="A675" t="s">
        <v>2064</v>
      </c>
      <c r="B675" t="s">
        <v>2065</v>
      </c>
      <c r="C675" t="s">
        <v>35</v>
      </c>
      <c r="D675">
        <v>2.687</v>
      </c>
      <c r="E675">
        <v>983</v>
      </c>
      <c r="F675">
        <v>16</v>
      </c>
      <c r="G675" t="s">
        <v>36</v>
      </c>
      <c r="H675" t="s">
        <v>2066</v>
      </c>
      <c r="I675" t="s">
        <v>29</v>
      </c>
      <c r="J675" t="s">
        <v>38</v>
      </c>
      <c r="K675" t="s">
        <v>31</v>
      </c>
      <c r="L675" t="s">
        <v>31</v>
      </c>
      <c r="M675" t="s">
        <v>76</v>
      </c>
      <c r="N675">
        <v>8</v>
      </c>
      <c r="O675">
        <v>3</v>
      </c>
      <c r="P675">
        <v>0</v>
      </c>
      <c r="Q675">
        <v>365.835504279866</v>
      </c>
      <c r="R675">
        <v>5.95459620394492</v>
      </c>
      <c r="S675">
        <v>61.4375</v>
      </c>
      <c r="T675">
        <v>0</v>
      </c>
      <c r="U675">
        <v>0</v>
      </c>
      <c r="V675">
        <v>0</v>
      </c>
      <c r="W675">
        <v>6.891625897052253</v>
      </c>
      <c r="X675">
        <v>0</v>
      </c>
    </row>
    <row r="676" spans="1:24">
      <c r="A676" t="s">
        <v>2067</v>
      </c>
      <c r="B676" t="s">
        <v>2068</v>
      </c>
      <c r="C676" t="s">
        <v>35</v>
      </c>
      <c r="D676">
        <v>0.827</v>
      </c>
      <c r="E676">
        <v>4603</v>
      </c>
      <c r="F676">
        <v>28</v>
      </c>
      <c r="G676" t="s">
        <v>62</v>
      </c>
      <c r="H676" t="s">
        <v>2069</v>
      </c>
      <c r="I676" t="s">
        <v>29</v>
      </c>
      <c r="J676" t="s">
        <v>30</v>
      </c>
      <c r="K676" t="s">
        <v>30</v>
      </c>
      <c r="L676" t="s">
        <v>31</v>
      </c>
      <c r="M676" t="s">
        <v>97</v>
      </c>
      <c r="N676">
        <v>8</v>
      </c>
      <c r="O676">
        <v>3</v>
      </c>
      <c r="P676">
        <v>0</v>
      </c>
      <c r="Q676">
        <v>5565.90084643289</v>
      </c>
      <c r="R676">
        <v>33.85731559854897</v>
      </c>
      <c r="S676">
        <v>164.3928571428571</v>
      </c>
      <c r="T676">
        <v>0</v>
      </c>
      <c r="U676">
        <v>0</v>
      </c>
      <c r="V676">
        <v>0</v>
      </c>
      <c r="W676">
        <v>8.434680769841773</v>
      </c>
      <c r="X676">
        <v>0</v>
      </c>
    </row>
    <row r="677" spans="1:24">
      <c r="A677" t="s">
        <v>2070</v>
      </c>
      <c r="B677" t="s">
        <v>2071</v>
      </c>
      <c r="C677" t="s">
        <v>35</v>
      </c>
      <c r="D677">
        <v>2.05</v>
      </c>
      <c r="E677">
        <v>4935</v>
      </c>
      <c r="F677">
        <v>13</v>
      </c>
      <c r="G677" t="s">
        <v>27</v>
      </c>
      <c r="H677" t="s">
        <v>2072</v>
      </c>
      <c r="I677" t="s">
        <v>29</v>
      </c>
      <c r="J677" t="s">
        <v>30</v>
      </c>
      <c r="K677" t="s">
        <v>30</v>
      </c>
      <c r="L677" t="s">
        <v>30</v>
      </c>
      <c r="M677" t="s">
        <v>97</v>
      </c>
      <c r="N677">
        <v>8</v>
      </c>
      <c r="O677">
        <v>3</v>
      </c>
      <c r="P677">
        <v>0</v>
      </c>
      <c r="Q677">
        <v>2407.317073170732</v>
      </c>
      <c r="R677">
        <v>6.341463414634147</v>
      </c>
      <c r="S677">
        <v>379.6153846153846</v>
      </c>
      <c r="T677">
        <v>0</v>
      </c>
      <c r="U677">
        <v>0</v>
      </c>
      <c r="V677">
        <v>0</v>
      </c>
      <c r="W677">
        <v>8.504310565585223</v>
      </c>
      <c r="X677">
        <v>0</v>
      </c>
    </row>
    <row r="678" spans="1:24">
      <c r="A678" t="s">
        <v>2073</v>
      </c>
      <c r="B678" t="s">
        <v>2074</v>
      </c>
      <c r="C678" t="s">
        <v>35</v>
      </c>
      <c r="D678">
        <v>2.477</v>
      </c>
      <c r="E678">
        <v>2137</v>
      </c>
      <c r="F678">
        <v>20</v>
      </c>
      <c r="G678" t="s">
        <v>62</v>
      </c>
      <c r="H678" t="s">
        <v>2075</v>
      </c>
      <c r="I678" t="s">
        <v>29</v>
      </c>
      <c r="J678" t="s">
        <v>30</v>
      </c>
      <c r="K678" t="s">
        <v>38</v>
      </c>
      <c r="L678" t="s">
        <v>38</v>
      </c>
      <c r="M678" t="s">
        <v>39</v>
      </c>
      <c r="N678">
        <v>8</v>
      </c>
      <c r="O678">
        <v>3</v>
      </c>
      <c r="P678">
        <v>0</v>
      </c>
      <c r="Q678">
        <v>862.7371820750909</v>
      </c>
      <c r="R678">
        <v>8.074283407347599</v>
      </c>
      <c r="S678">
        <v>106.85</v>
      </c>
      <c r="T678">
        <v>0</v>
      </c>
      <c r="U678">
        <v>0</v>
      </c>
      <c r="V678">
        <v>0</v>
      </c>
      <c r="W678">
        <v>7.667626091584991</v>
      </c>
      <c r="X678">
        <v>0</v>
      </c>
    </row>
    <row r="679" spans="1:24">
      <c r="A679" t="s">
        <v>2076</v>
      </c>
      <c r="B679" t="s">
        <v>2077</v>
      </c>
      <c r="C679" t="s">
        <v>26</v>
      </c>
      <c r="D679">
        <v>2.274</v>
      </c>
      <c r="E679">
        <v>1903</v>
      </c>
      <c r="F679">
        <v>18</v>
      </c>
      <c r="G679" t="s">
        <v>36</v>
      </c>
      <c r="H679" t="s">
        <v>2078</v>
      </c>
      <c r="I679" t="s">
        <v>29</v>
      </c>
      <c r="J679" t="s">
        <v>38</v>
      </c>
      <c r="K679" t="s">
        <v>30</v>
      </c>
      <c r="L679" t="s">
        <v>30</v>
      </c>
      <c r="M679" t="s">
        <v>44</v>
      </c>
      <c r="N679">
        <v>8</v>
      </c>
      <c r="O679">
        <v>3</v>
      </c>
      <c r="P679">
        <v>0</v>
      </c>
      <c r="Q679">
        <v>836.8513632365875</v>
      </c>
      <c r="R679">
        <v>7.915567282321899</v>
      </c>
      <c r="S679">
        <v>105.7222222222222</v>
      </c>
      <c r="T679">
        <v>0</v>
      </c>
      <c r="U679">
        <v>0</v>
      </c>
      <c r="V679">
        <v>0</v>
      </c>
      <c r="W679">
        <v>7.55171221535131</v>
      </c>
      <c r="X679">
        <v>0</v>
      </c>
    </row>
    <row r="680" spans="1:24">
      <c r="A680" t="s">
        <v>2079</v>
      </c>
      <c r="B680" t="s">
        <v>2080</v>
      </c>
      <c r="C680" t="s">
        <v>35</v>
      </c>
      <c r="D680">
        <v>3.943</v>
      </c>
      <c r="E680">
        <v>20921</v>
      </c>
      <c r="F680">
        <v>22</v>
      </c>
      <c r="G680" t="s">
        <v>47</v>
      </c>
      <c r="H680" t="s">
        <v>2081</v>
      </c>
      <c r="I680" t="s">
        <v>29</v>
      </c>
      <c r="J680" t="s">
        <v>31</v>
      </c>
      <c r="K680" t="s">
        <v>30</v>
      </c>
      <c r="L680" t="s">
        <v>30</v>
      </c>
      <c r="M680" t="s">
        <v>44</v>
      </c>
      <c r="N680">
        <v>8</v>
      </c>
      <c r="O680">
        <v>3</v>
      </c>
      <c r="P680">
        <v>0</v>
      </c>
      <c r="Q680">
        <v>5305.858483388283</v>
      </c>
      <c r="R680">
        <v>5.579507988840984</v>
      </c>
      <c r="S680">
        <v>950.9545454545456</v>
      </c>
      <c r="T680">
        <v>0</v>
      </c>
      <c r="U680">
        <v>0</v>
      </c>
      <c r="V680">
        <v>1</v>
      </c>
      <c r="W680">
        <v>9.948556515903704</v>
      </c>
      <c r="X680">
        <v>0</v>
      </c>
    </row>
    <row r="681" spans="1:24">
      <c r="A681" t="s">
        <v>2082</v>
      </c>
      <c r="B681" t="s">
        <v>2083</v>
      </c>
      <c r="C681" t="s">
        <v>35</v>
      </c>
      <c r="D681">
        <v>3.72</v>
      </c>
      <c r="E681">
        <v>3155</v>
      </c>
      <c r="F681">
        <v>23</v>
      </c>
      <c r="G681" t="s">
        <v>62</v>
      </c>
      <c r="H681" t="s">
        <v>2084</v>
      </c>
      <c r="I681" t="s">
        <v>29</v>
      </c>
      <c r="J681" t="s">
        <v>30</v>
      </c>
      <c r="K681" t="s">
        <v>30</v>
      </c>
      <c r="L681" t="s">
        <v>30</v>
      </c>
      <c r="M681" t="s">
        <v>83</v>
      </c>
      <c r="N681">
        <v>8</v>
      </c>
      <c r="O681">
        <v>3</v>
      </c>
      <c r="P681">
        <v>0</v>
      </c>
      <c r="Q681">
        <v>848.1182795698925</v>
      </c>
      <c r="R681">
        <v>6.182795698924731</v>
      </c>
      <c r="S681">
        <v>137.1739130434783</v>
      </c>
      <c r="T681">
        <v>0</v>
      </c>
      <c r="U681">
        <v>0</v>
      </c>
      <c r="V681">
        <v>0</v>
      </c>
      <c r="W681">
        <v>8.057060681965766</v>
      </c>
      <c r="X681">
        <v>0</v>
      </c>
    </row>
    <row r="682" spans="1:24">
      <c r="A682" t="s">
        <v>2085</v>
      </c>
      <c r="B682" t="s">
        <v>2086</v>
      </c>
      <c r="C682" t="s">
        <v>130</v>
      </c>
      <c r="D682">
        <v>3.737</v>
      </c>
      <c r="E682">
        <v>3701</v>
      </c>
      <c r="F682">
        <v>20</v>
      </c>
      <c r="G682" t="s">
        <v>27</v>
      </c>
      <c r="H682" t="s">
        <v>2087</v>
      </c>
      <c r="I682" t="s">
        <v>29</v>
      </c>
      <c r="J682" t="s">
        <v>30</v>
      </c>
      <c r="K682" t="s">
        <v>30</v>
      </c>
      <c r="L682" t="s">
        <v>30</v>
      </c>
      <c r="M682" t="s">
        <v>44</v>
      </c>
      <c r="N682">
        <v>8</v>
      </c>
      <c r="O682">
        <v>3</v>
      </c>
      <c r="P682">
        <v>0</v>
      </c>
      <c r="Q682">
        <v>990.3666042279904</v>
      </c>
      <c r="R682">
        <v>5.351886540005352</v>
      </c>
      <c r="S682">
        <v>185.05</v>
      </c>
      <c r="T682">
        <v>0</v>
      </c>
      <c r="U682">
        <v>0</v>
      </c>
      <c r="V682">
        <v>0</v>
      </c>
      <c r="W682">
        <v>8.216628493133443</v>
      </c>
      <c r="X682">
        <v>0</v>
      </c>
    </row>
    <row r="683" spans="1:24">
      <c r="A683" t="s">
        <v>2088</v>
      </c>
      <c r="B683" t="s">
        <v>2089</v>
      </c>
      <c r="C683" t="s">
        <v>26</v>
      </c>
      <c r="D683">
        <v>3.812</v>
      </c>
      <c r="E683">
        <v>19801</v>
      </c>
      <c r="F683">
        <v>144</v>
      </c>
      <c r="G683" t="s">
        <v>62</v>
      </c>
      <c r="H683" t="s">
        <v>2090</v>
      </c>
      <c r="I683" t="s">
        <v>49</v>
      </c>
      <c r="J683" t="s">
        <v>30</v>
      </c>
      <c r="K683" t="s">
        <v>30</v>
      </c>
      <c r="L683" t="s">
        <v>38</v>
      </c>
      <c r="M683" t="s">
        <v>97</v>
      </c>
      <c r="N683">
        <v>8</v>
      </c>
      <c r="O683">
        <v>3</v>
      </c>
      <c r="P683">
        <v>0</v>
      </c>
      <c r="Q683">
        <v>5194.386149003149</v>
      </c>
      <c r="R683">
        <v>37.77544596012592</v>
      </c>
      <c r="S683">
        <v>137.5069444444445</v>
      </c>
      <c r="T683">
        <v>0</v>
      </c>
      <c r="U683">
        <v>0</v>
      </c>
      <c r="V683">
        <v>1</v>
      </c>
      <c r="W683">
        <v>9.89353822168246</v>
      </c>
      <c r="X683">
        <v>1</v>
      </c>
    </row>
    <row r="684" spans="1:24">
      <c r="A684" t="s">
        <v>2091</v>
      </c>
      <c r="B684" t="s">
        <v>2092</v>
      </c>
      <c r="C684" t="s">
        <v>35</v>
      </c>
      <c r="D684">
        <v>0.121</v>
      </c>
      <c r="E684">
        <v>1195</v>
      </c>
      <c r="F684">
        <v>18</v>
      </c>
      <c r="G684" t="s">
        <v>27</v>
      </c>
      <c r="H684" t="s">
        <v>2093</v>
      </c>
      <c r="I684" t="s">
        <v>29</v>
      </c>
      <c r="J684" t="s">
        <v>30</v>
      </c>
      <c r="K684" t="s">
        <v>38</v>
      </c>
      <c r="L684" t="s">
        <v>30</v>
      </c>
      <c r="M684" t="s">
        <v>32</v>
      </c>
      <c r="N684">
        <v>8</v>
      </c>
      <c r="O684">
        <v>3</v>
      </c>
      <c r="P684">
        <v>0</v>
      </c>
      <c r="Q684">
        <v>9876.03305785124</v>
      </c>
      <c r="R684">
        <v>148.7603305785124</v>
      </c>
      <c r="S684">
        <v>66.38888888888889</v>
      </c>
      <c r="T684">
        <v>0</v>
      </c>
      <c r="U684">
        <v>0</v>
      </c>
      <c r="V684">
        <v>0</v>
      </c>
      <c r="W684">
        <v>7.086737934510577</v>
      </c>
      <c r="X684">
        <v>0</v>
      </c>
    </row>
    <row r="685" spans="1:24">
      <c r="A685" t="s">
        <v>2094</v>
      </c>
      <c r="B685" t="s">
        <v>2095</v>
      </c>
      <c r="C685" t="s">
        <v>35</v>
      </c>
      <c r="D685">
        <v>3.2</v>
      </c>
      <c r="E685">
        <v>9487</v>
      </c>
      <c r="F685">
        <v>16</v>
      </c>
      <c r="G685" t="s">
        <v>47</v>
      </c>
      <c r="H685" t="s">
        <v>2096</v>
      </c>
      <c r="I685" t="s">
        <v>29</v>
      </c>
      <c r="J685" t="s">
        <v>31</v>
      </c>
      <c r="K685" t="s">
        <v>30</v>
      </c>
      <c r="L685" t="s">
        <v>31</v>
      </c>
      <c r="M685" t="s">
        <v>44</v>
      </c>
      <c r="N685">
        <v>8</v>
      </c>
      <c r="O685">
        <v>3</v>
      </c>
      <c r="P685">
        <v>0</v>
      </c>
      <c r="Q685">
        <v>2964.6875</v>
      </c>
      <c r="R685">
        <v>5</v>
      </c>
      <c r="S685">
        <v>592.9375</v>
      </c>
      <c r="T685">
        <v>0</v>
      </c>
      <c r="U685">
        <v>0</v>
      </c>
      <c r="V685">
        <v>0</v>
      </c>
      <c r="W685">
        <v>9.157783121237507</v>
      </c>
      <c r="X685">
        <v>0</v>
      </c>
    </row>
    <row r="686" spans="1:24">
      <c r="A686" t="s">
        <v>2097</v>
      </c>
      <c r="B686" t="s">
        <v>2098</v>
      </c>
      <c r="C686" t="s">
        <v>35</v>
      </c>
      <c r="D686">
        <v>3.59</v>
      </c>
      <c r="E686">
        <v>3338</v>
      </c>
      <c r="F686">
        <v>22</v>
      </c>
      <c r="G686" t="s">
        <v>27</v>
      </c>
      <c r="H686" t="s">
        <v>2099</v>
      </c>
      <c r="I686" t="s">
        <v>29</v>
      </c>
      <c r="J686" t="s">
        <v>30</v>
      </c>
      <c r="K686" t="s">
        <v>31</v>
      </c>
      <c r="L686" t="s">
        <v>31</v>
      </c>
      <c r="M686" t="s">
        <v>97</v>
      </c>
      <c r="N686">
        <v>9</v>
      </c>
      <c r="O686">
        <v>3</v>
      </c>
      <c r="P686">
        <v>0</v>
      </c>
      <c r="Q686">
        <v>929.8050139275766</v>
      </c>
      <c r="R686">
        <v>6.128133704735376</v>
      </c>
      <c r="S686">
        <v>151.7272727272727</v>
      </c>
      <c r="T686">
        <v>0</v>
      </c>
      <c r="U686">
        <v>0</v>
      </c>
      <c r="V686">
        <v>0</v>
      </c>
      <c r="W686">
        <v>8.113426639943654</v>
      </c>
      <c r="X686">
        <v>0</v>
      </c>
    </row>
    <row r="687" spans="1:24">
      <c r="A687" t="s">
        <v>2100</v>
      </c>
      <c r="B687" t="s">
        <v>2101</v>
      </c>
      <c r="C687" t="s">
        <v>35</v>
      </c>
      <c r="D687">
        <v>4.265</v>
      </c>
      <c r="E687">
        <v>2429</v>
      </c>
      <c r="F687">
        <v>15</v>
      </c>
      <c r="G687" t="s">
        <v>62</v>
      </c>
      <c r="H687" t="s">
        <v>2102</v>
      </c>
      <c r="I687" t="s">
        <v>29</v>
      </c>
      <c r="J687" t="s">
        <v>30</v>
      </c>
      <c r="K687" t="s">
        <v>31</v>
      </c>
      <c r="L687" t="s">
        <v>31</v>
      </c>
      <c r="M687" t="s">
        <v>44</v>
      </c>
      <c r="N687">
        <v>9</v>
      </c>
      <c r="O687">
        <v>3</v>
      </c>
      <c r="P687">
        <v>0</v>
      </c>
      <c r="Q687">
        <v>569.5193434935522</v>
      </c>
      <c r="R687">
        <v>3.516998827667058</v>
      </c>
      <c r="S687">
        <v>161.9333333333333</v>
      </c>
      <c r="T687">
        <v>0</v>
      </c>
      <c r="U687">
        <v>0</v>
      </c>
      <c r="V687">
        <v>0</v>
      </c>
      <c r="W687">
        <v>7.795646536334594</v>
      </c>
      <c r="X687">
        <v>0</v>
      </c>
    </row>
    <row r="688" spans="1:24">
      <c r="A688" t="s">
        <v>2103</v>
      </c>
      <c r="B688" t="s">
        <v>2104</v>
      </c>
      <c r="C688" t="s">
        <v>26</v>
      </c>
      <c r="D688">
        <v>2.481</v>
      </c>
      <c r="E688">
        <v>4192</v>
      </c>
      <c r="F688">
        <v>20</v>
      </c>
      <c r="G688" t="s">
        <v>36</v>
      </c>
      <c r="H688" t="s">
        <v>2105</v>
      </c>
      <c r="I688" t="s">
        <v>29</v>
      </c>
      <c r="J688" t="s">
        <v>38</v>
      </c>
      <c r="K688" t="s">
        <v>30</v>
      </c>
      <c r="L688" t="s">
        <v>30</v>
      </c>
      <c r="M688" t="s">
        <v>83</v>
      </c>
      <c r="N688">
        <v>9</v>
      </c>
      <c r="O688">
        <v>3</v>
      </c>
      <c r="P688">
        <v>0</v>
      </c>
      <c r="Q688">
        <v>1689.641273679968</v>
      </c>
      <c r="R688">
        <v>8.061265618702137</v>
      </c>
      <c r="S688">
        <v>209.6</v>
      </c>
      <c r="T688">
        <v>0</v>
      </c>
      <c r="U688">
        <v>0</v>
      </c>
      <c r="V688">
        <v>0</v>
      </c>
      <c r="W688">
        <v>8.341171747170762</v>
      </c>
      <c r="X688">
        <v>0</v>
      </c>
    </row>
    <row r="689" spans="1:24">
      <c r="A689" t="s">
        <v>2106</v>
      </c>
      <c r="B689" t="s">
        <v>2107</v>
      </c>
      <c r="C689" t="s">
        <v>35</v>
      </c>
      <c r="D689">
        <v>0.478</v>
      </c>
      <c r="E689">
        <v>1690</v>
      </c>
      <c r="F689">
        <v>18</v>
      </c>
      <c r="G689" t="s">
        <v>47</v>
      </c>
      <c r="H689" t="s">
        <v>2108</v>
      </c>
      <c r="I689" t="s">
        <v>29</v>
      </c>
      <c r="J689" t="s">
        <v>31</v>
      </c>
      <c r="K689" t="s">
        <v>30</v>
      </c>
      <c r="L689" t="s">
        <v>31</v>
      </c>
      <c r="M689" t="s">
        <v>97</v>
      </c>
      <c r="N689">
        <v>9</v>
      </c>
      <c r="O689">
        <v>3</v>
      </c>
      <c r="P689">
        <v>0</v>
      </c>
      <c r="Q689">
        <v>3535.564853556486</v>
      </c>
      <c r="R689">
        <v>37.65690376569038</v>
      </c>
      <c r="S689">
        <v>93.88888888888889</v>
      </c>
      <c r="T689">
        <v>0</v>
      </c>
      <c r="U689">
        <v>0</v>
      </c>
      <c r="V689">
        <v>0</v>
      </c>
      <c r="W689">
        <v>7.43307534889858</v>
      </c>
      <c r="X689">
        <v>0</v>
      </c>
    </row>
    <row r="690" spans="1:24">
      <c r="A690" t="s">
        <v>2109</v>
      </c>
      <c r="B690" t="s">
        <v>2110</v>
      </c>
      <c r="C690" t="s">
        <v>26</v>
      </c>
      <c r="D690">
        <v>1.573</v>
      </c>
      <c r="E690">
        <v>10106</v>
      </c>
      <c r="F690">
        <v>14</v>
      </c>
      <c r="G690" t="s">
        <v>62</v>
      </c>
      <c r="H690" t="s">
        <v>2111</v>
      </c>
      <c r="I690" t="s">
        <v>29</v>
      </c>
      <c r="J690" t="s">
        <v>30</v>
      </c>
      <c r="K690" t="s">
        <v>31</v>
      </c>
      <c r="L690" t="s">
        <v>31</v>
      </c>
      <c r="M690" t="s">
        <v>44</v>
      </c>
      <c r="N690">
        <v>9</v>
      </c>
      <c r="O690">
        <v>3</v>
      </c>
      <c r="P690">
        <v>0</v>
      </c>
      <c r="Q690">
        <v>6424.666242848061</v>
      </c>
      <c r="R690">
        <v>8.900190718372537</v>
      </c>
      <c r="S690">
        <v>721.8571428571429</v>
      </c>
      <c r="T690">
        <v>0</v>
      </c>
      <c r="U690">
        <v>0</v>
      </c>
      <c r="V690">
        <v>1</v>
      </c>
      <c r="W690">
        <v>9.220983532074662</v>
      </c>
      <c r="X690">
        <v>0</v>
      </c>
    </row>
    <row r="691" spans="1:24">
      <c r="A691" t="s">
        <v>2112</v>
      </c>
      <c r="B691" t="s">
        <v>2113</v>
      </c>
      <c r="C691" t="s">
        <v>130</v>
      </c>
      <c r="D691">
        <v>4.072</v>
      </c>
      <c r="E691">
        <v>976</v>
      </c>
      <c r="F691">
        <v>20</v>
      </c>
      <c r="G691" t="s">
        <v>47</v>
      </c>
      <c r="H691" t="s">
        <v>2114</v>
      </c>
      <c r="I691" t="s">
        <v>29</v>
      </c>
      <c r="J691" t="s">
        <v>31</v>
      </c>
      <c r="K691" t="s">
        <v>30</v>
      </c>
      <c r="L691" t="s">
        <v>31</v>
      </c>
      <c r="M691" t="s">
        <v>76</v>
      </c>
      <c r="N691">
        <v>9</v>
      </c>
      <c r="O691">
        <v>3</v>
      </c>
      <c r="P691">
        <v>0</v>
      </c>
      <c r="Q691">
        <v>239.6856581532416</v>
      </c>
      <c r="R691">
        <v>4.911591355599214</v>
      </c>
      <c r="S691">
        <v>48.8</v>
      </c>
      <c r="T691">
        <v>0</v>
      </c>
      <c r="U691">
        <v>0</v>
      </c>
      <c r="V691">
        <v>0</v>
      </c>
      <c r="W691">
        <v>6.884486652042782</v>
      </c>
      <c r="X691">
        <v>0</v>
      </c>
    </row>
    <row r="692" spans="1:24">
      <c r="A692" t="s">
        <v>2115</v>
      </c>
      <c r="B692" t="s">
        <v>2116</v>
      </c>
      <c r="C692" t="s">
        <v>130</v>
      </c>
      <c r="D692">
        <v>2.795</v>
      </c>
      <c r="E692">
        <v>8521</v>
      </c>
      <c r="F692">
        <v>18</v>
      </c>
      <c r="G692" t="s">
        <v>62</v>
      </c>
      <c r="H692" t="s">
        <v>2117</v>
      </c>
      <c r="I692" t="s">
        <v>29</v>
      </c>
      <c r="J692" t="s">
        <v>30</v>
      </c>
      <c r="K692" t="s">
        <v>31</v>
      </c>
      <c r="L692" t="s">
        <v>30</v>
      </c>
      <c r="M692" t="s">
        <v>97</v>
      </c>
      <c r="N692">
        <v>9</v>
      </c>
      <c r="O692">
        <v>3</v>
      </c>
      <c r="P692">
        <v>0</v>
      </c>
      <c r="Q692">
        <v>3048.65831842576</v>
      </c>
      <c r="R692">
        <v>6.440071556350627</v>
      </c>
      <c r="S692">
        <v>473.3888888888889</v>
      </c>
      <c r="T692">
        <v>0</v>
      </c>
      <c r="U692">
        <v>0</v>
      </c>
      <c r="V692">
        <v>0</v>
      </c>
      <c r="W692">
        <v>9.050406334059858</v>
      </c>
      <c r="X692">
        <v>0</v>
      </c>
    </row>
    <row r="693" spans="1:24">
      <c r="A693" t="s">
        <v>2118</v>
      </c>
      <c r="B693" t="s">
        <v>2119</v>
      </c>
      <c r="C693" t="s">
        <v>35</v>
      </c>
      <c r="D693">
        <v>5.148</v>
      </c>
      <c r="E693">
        <v>3664</v>
      </c>
      <c r="F693">
        <v>15</v>
      </c>
      <c r="G693" t="s">
        <v>62</v>
      </c>
      <c r="H693" t="s">
        <v>2120</v>
      </c>
      <c r="I693" t="s">
        <v>29</v>
      </c>
      <c r="J693" t="s">
        <v>30</v>
      </c>
      <c r="K693" t="s">
        <v>30</v>
      </c>
      <c r="L693" t="s">
        <v>30</v>
      </c>
      <c r="M693" t="s">
        <v>39</v>
      </c>
      <c r="N693">
        <v>9</v>
      </c>
      <c r="O693">
        <v>3</v>
      </c>
      <c r="P693">
        <v>0</v>
      </c>
      <c r="Q693">
        <v>711.7327117327118</v>
      </c>
      <c r="R693">
        <v>2.913752913752914</v>
      </c>
      <c r="S693">
        <v>244.2666666666667</v>
      </c>
      <c r="T693">
        <v>0</v>
      </c>
      <c r="U693">
        <v>0</v>
      </c>
      <c r="V693">
        <v>0</v>
      </c>
      <c r="W693">
        <v>8.206583614320753</v>
      </c>
      <c r="X693">
        <v>0</v>
      </c>
    </row>
    <row r="694" spans="1:24">
      <c r="A694" t="s">
        <v>2121</v>
      </c>
      <c r="B694" t="s">
        <v>2122</v>
      </c>
      <c r="C694" t="s">
        <v>35</v>
      </c>
      <c r="D694">
        <v>2.49</v>
      </c>
      <c r="E694">
        <v>7030</v>
      </c>
      <c r="F694">
        <v>14</v>
      </c>
      <c r="G694" t="s">
        <v>47</v>
      </c>
      <c r="H694" t="s">
        <v>2123</v>
      </c>
      <c r="I694" t="s">
        <v>29</v>
      </c>
      <c r="J694" t="s">
        <v>31</v>
      </c>
      <c r="K694" t="s">
        <v>31</v>
      </c>
      <c r="L694" t="s">
        <v>30</v>
      </c>
      <c r="M694" t="s">
        <v>32</v>
      </c>
      <c r="N694">
        <v>9</v>
      </c>
      <c r="O694">
        <v>3</v>
      </c>
      <c r="P694">
        <v>0</v>
      </c>
      <c r="Q694">
        <v>2823.293172690763</v>
      </c>
      <c r="R694">
        <v>5.622489959839357</v>
      </c>
      <c r="S694">
        <v>502.1428571428572</v>
      </c>
      <c r="T694">
        <v>0</v>
      </c>
      <c r="U694">
        <v>0</v>
      </c>
      <c r="V694">
        <v>0</v>
      </c>
      <c r="W694">
        <v>8.858084222199162</v>
      </c>
      <c r="X694">
        <v>0</v>
      </c>
    </row>
    <row r="695" spans="1:24">
      <c r="A695" t="s">
        <v>2124</v>
      </c>
      <c r="B695" t="s">
        <v>2125</v>
      </c>
      <c r="C695" t="s">
        <v>35</v>
      </c>
      <c r="D695">
        <v>2.587</v>
      </c>
      <c r="E695">
        <v>13517</v>
      </c>
      <c r="F695">
        <v>18</v>
      </c>
      <c r="G695" t="s">
        <v>62</v>
      </c>
      <c r="H695" t="s">
        <v>2126</v>
      </c>
      <c r="I695" t="s">
        <v>29</v>
      </c>
      <c r="J695" t="s">
        <v>30</v>
      </c>
      <c r="K695" t="s">
        <v>31</v>
      </c>
      <c r="L695" t="s">
        <v>31</v>
      </c>
      <c r="M695" t="s">
        <v>97</v>
      </c>
      <c r="N695">
        <v>9</v>
      </c>
      <c r="O695">
        <v>3</v>
      </c>
      <c r="P695">
        <v>0</v>
      </c>
      <c r="Q695">
        <v>5224.971008890607</v>
      </c>
      <c r="R695">
        <v>6.957866254348666</v>
      </c>
      <c r="S695">
        <v>750.9444444444445</v>
      </c>
      <c r="T695">
        <v>0</v>
      </c>
      <c r="U695">
        <v>0</v>
      </c>
      <c r="V695">
        <v>1</v>
      </c>
      <c r="W695">
        <v>9.511777409660301</v>
      </c>
      <c r="X695">
        <v>0</v>
      </c>
    </row>
    <row r="696" spans="1:24">
      <c r="A696" t="s">
        <v>2127</v>
      </c>
      <c r="B696" t="s">
        <v>2128</v>
      </c>
      <c r="C696" t="s">
        <v>35</v>
      </c>
      <c r="D696">
        <v>2.016</v>
      </c>
      <c r="E696">
        <v>5342</v>
      </c>
      <c r="F696">
        <v>20</v>
      </c>
      <c r="G696" t="s">
        <v>36</v>
      </c>
      <c r="H696" t="s">
        <v>2129</v>
      </c>
      <c r="I696" t="s">
        <v>29</v>
      </c>
      <c r="J696" t="s">
        <v>38</v>
      </c>
      <c r="K696" t="s">
        <v>30</v>
      </c>
      <c r="L696" t="s">
        <v>30</v>
      </c>
      <c r="M696" t="s">
        <v>76</v>
      </c>
      <c r="N696">
        <v>9</v>
      </c>
      <c r="O696">
        <v>3</v>
      </c>
      <c r="P696">
        <v>0</v>
      </c>
      <c r="Q696">
        <v>2649.801587301587</v>
      </c>
      <c r="R696">
        <v>9.920634920634919</v>
      </c>
      <c r="S696">
        <v>267.1</v>
      </c>
      <c r="T696">
        <v>0</v>
      </c>
      <c r="U696">
        <v>0</v>
      </c>
      <c r="V696">
        <v>0</v>
      </c>
      <c r="W696">
        <v>8.583542571957771</v>
      </c>
      <c r="X696">
        <v>0</v>
      </c>
    </row>
    <row r="697" spans="1:24">
      <c r="A697" t="s">
        <v>2130</v>
      </c>
      <c r="B697" t="s">
        <v>2131</v>
      </c>
      <c r="C697" t="s">
        <v>35</v>
      </c>
      <c r="D697">
        <v>0.837</v>
      </c>
      <c r="E697">
        <v>2236</v>
      </c>
      <c r="F697">
        <v>13</v>
      </c>
      <c r="G697" t="s">
        <v>36</v>
      </c>
      <c r="H697" t="s">
        <v>2132</v>
      </c>
      <c r="I697" t="s">
        <v>29</v>
      </c>
      <c r="J697" t="s">
        <v>38</v>
      </c>
      <c r="K697" t="s">
        <v>30</v>
      </c>
      <c r="L697" t="s">
        <v>38</v>
      </c>
      <c r="M697" t="s">
        <v>39</v>
      </c>
      <c r="N697">
        <v>9</v>
      </c>
      <c r="O697">
        <v>3</v>
      </c>
      <c r="P697">
        <v>0</v>
      </c>
      <c r="Q697">
        <v>2671.445639187575</v>
      </c>
      <c r="R697">
        <v>15.53166069295102</v>
      </c>
      <c r="S697">
        <v>172</v>
      </c>
      <c r="T697">
        <v>0</v>
      </c>
      <c r="U697">
        <v>0</v>
      </c>
      <c r="V697">
        <v>0</v>
      </c>
      <c r="W697">
        <v>7.71289096149013</v>
      </c>
      <c r="X697">
        <v>0</v>
      </c>
    </row>
    <row r="698" spans="1:24">
      <c r="A698" t="s">
        <v>2133</v>
      </c>
      <c r="B698" t="s">
        <v>2134</v>
      </c>
      <c r="C698" t="s">
        <v>52</v>
      </c>
      <c r="D698">
        <v>3.402</v>
      </c>
      <c r="E698">
        <v>3260</v>
      </c>
      <c r="F698">
        <v>25</v>
      </c>
      <c r="G698" t="s">
        <v>62</v>
      </c>
      <c r="H698" t="s">
        <v>2135</v>
      </c>
      <c r="I698" t="s">
        <v>29</v>
      </c>
      <c r="J698" t="s">
        <v>30</v>
      </c>
      <c r="K698" t="s">
        <v>31</v>
      </c>
      <c r="L698" t="s">
        <v>31</v>
      </c>
      <c r="M698" t="s">
        <v>32</v>
      </c>
      <c r="N698">
        <v>10</v>
      </c>
      <c r="O698">
        <v>3</v>
      </c>
      <c r="P698">
        <v>0</v>
      </c>
      <c r="Q698">
        <v>958.259847148736</v>
      </c>
      <c r="R698">
        <v>7.348618459729571</v>
      </c>
      <c r="S698">
        <v>130.4</v>
      </c>
      <c r="T698">
        <v>0</v>
      </c>
      <c r="U698">
        <v>0</v>
      </c>
      <c r="V698">
        <v>0</v>
      </c>
      <c r="W698">
        <v>8.089789175789319</v>
      </c>
      <c r="X698">
        <v>0</v>
      </c>
    </row>
    <row r="699" spans="1:24">
      <c r="A699" t="s">
        <v>2136</v>
      </c>
      <c r="B699" t="s">
        <v>2137</v>
      </c>
      <c r="C699" t="s">
        <v>35</v>
      </c>
      <c r="D699">
        <v>2.52</v>
      </c>
      <c r="E699">
        <v>6073</v>
      </c>
      <c r="F699">
        <v>20</v>
      </c>
      <c r="G699" t="s">
        <v>47</v>
      </c>
      <c r="H699" t="s">
        <v>2138</v>
      </c>
      <c r="I699" t="s">
        <v>29</v>
      </c>
      <c r="J699" t="s">
        <v>31</v>
      </c>
      <c r="K699" t="s">
        <v>31</v>
      </c>
      <c r="L699" t="s">
        <v>31</v>
      </c>
      <c r="M699" t="s">
        <v>39</v>
      </c>
      <c r="N699">
        <v>10</v>
      </c>
      <c r="O699">
        <v>3</v>
      </c>
      <c r="P699">
        <v>0</v>
      </c>
      <c r="Q699">
        <v>2409.920634920635</v>
      </c>
      <c r="R699">
        <v>7.936507936507937</v>
      </c>
      <c r="S699">
        <v>303.65</v>
      </c>
      <c r="T699">
        <v>0</v>
      </c>
      <c r="U699">
        <v>0</v>
      </c>
      <c r="V699">
        <v>0</v>
      </c>
      <c r="W699">
        <v>8.711772645605693</v>
      </c>
      <c r="X699">
        <v>0</v>
      </c>
    </row>
    <row r="700" spans="1:24">
      <c r="A700" t="s">
        <v>2139</v>
      </c>
      <c r="B700" t="s">
        <v>2140</v>
      </c>
      <c r="C700" t="s">
        <v>35</v>
      </c>
      <c r="D700">
        <v>4.849</v>
      </c>
      <c r="E700">
        <v>3425</v>
      </c>
      <c r="F700">
        <v>17</v>
      </c>
      <c r="G700" t="s">
        <v>36</v>
      </c>
      <c r="H700" t="s">
        <v>2141</v>
      </c>
      <c r="I700" t="s">
        <v>29</v>
      </c>
      <c r="J700" t="s">
        <v>38</v>
      </c>
      <c r="K700" t="s">
        <v>31</v>
      </c>
      <c r="L700" t="s">
        <v>30</v>
      </c>
      <c r="M700" t="s">
        <v>44</v>
      </c>
      <c r="N700">
        <v>10</v>
      </c>
      <c r="O700">
        <v>3</v>
      </c>
      <c r="P700">
        <v>0</v>
      </c>
      <c r="Q700">
        <v>706.3312023097545</v>
      </c>
      <c r="R700">
        <v>3.50587750051557</v>
      </c>
      <c r="S700">
        <v>201.4705882352941</v>
      </c>
      <c r="T700">
        <v>0</v>
      </c>
      <c r="U700">
        <v>0</v>
      </c>
      <c r="V700">
        <v>0</v>
      </c>
      <c r="W700">
        <v>8.139148678884066</v>
      </c>
      <c r="X700">
        <v>0</v>
      </c>
    </row>
    <row r="701" spans="1:24">
      <c r="A701" t="s">
        <v>2142</v>
      </c>
      <c r="B701" t="s">
        <v>2143</v>
      </c>
      <c r="C701" t="s">
        <v>35</v>
      </c>
      <c r="D701">
        <v>3.514</v>
      </c>
      <c r="E701">
        <v>115240</v>
      </c>
      <c r="F701">
        <v>103</v>
      </c>
      <c r="G701" t="s">
        <v>47</v>
      </c>
      <c r="H701" t="s">
        <v>2144</v>
      </c>
      <c r="I701" t="s">
        <v>49</v>
      </c>
      <c r="J701" t="s">
        <v>31</v>
      </c>
      <c r="K701" t="s">
        <v>30</v>
      </c>
      <c r="L701" t="s">
        <v>31</v>
      </c>
      <c r="M701" t="s">
        <v>39</v>
      </c>
      <c r="N701">
        <v>10</v>
      </c>
      <c r="O701">
        <v>3</v>
      </c>
      <c r="P701">
        <v>0</v>
      </c>
      <c r="Q701">
        <v>32794.53614114969</v>
      </c>
      <c r="R701">
        <v>29.31132612407513</v>
      </c>
      <c r="S701">
        <v>1118.834951456311</v>
      </c>
      <c r="T701">
        <v>0</v>
      </c>
      <c r="U701">
        <v>0</v>
      </c>
      <c r="V701">
        <v>1</v>
      </c>
      <c r="W701">
        <v>11.65478086670334</v>
      </c>
      <c r="X701">
        <v>1</v>
      </c>
    </row>
    <row r="702" spans="1:24">
      <c r="A702" t="s">
        <v>2145</v>
      </c>
      <c r="B702" t="s">
        <v>2146</v>
      </c>
      <c r="C702" t="s">
        <v>35</v>
      </c>
      <c r="D702">
        <v>10.521</v>
      </c>
      <c r="E702">
        <v>1727</v>
      </c>
      <c r="F702">
        <v>19</v>
      </c>
      <c r="G702" t="s">
        <v>27</v>
      </c>
      <c r="H702" t="s">
        <v>2147</v>
      </c>
      <c r="I702" t="s">
        <v>29</v>
      </c>
      <c r="J702" t="s">
        <v>30</v>
      </c>
      <c r="K702" t="s">
        <v>30</v>
      </c>
      <c r="L702" t="s">
        <v>31</v>
      </c>
      <c r="M702" t="s">
        <v>97</v>
      </c>
      <c r="N702">
        <v>10</v>
      </c>
      <c r="O702">
        <v>3</v>
      </c>
      <c r="P702">
        <v>0</v>
      </c>
      <c r="Q702">
        <v>164.1478946868168</v>
      </c>
      <c r="R702">
        <v>1.805911985552704</v>
      </c>
      <c r="S702">
        <v>90.89473684210526</v>
      </c>
      <c r="T702">
        <v>0</v>
      </c>
      <c r="U702">
        <v>0</v>
      </c>
      <c r="V702">
        <v>0</v>
      </c>
      <c r="W702">
        <v>7.454719949364001</v>
      </c>
      <c r="X702">
        <v>0</v>
      </c>
    </row>
    <row r="703" spans="1:24">
      <c r="A703" t="s">
        <v>2148</v>
      </c>
      <c r="B703" t="s">
        <v>2149</v>
      </c>
      <c r="C703" t="s">
        <v>26</v>
      </c>
      <c r="D703">
        <v>0.8120000000000001</v>
      </c>
      <c r="E703">
        <v>6322</v>
      </c>
      <c r="F703">
        <v>23</v>
      </c>
      <c r="G703" t="s">
        <v>27</v>
      </c>
      <c r="H703" t="s">
        <v>2150</v>
      </c>
      <c r="I703" t="s">
        <v>29</v>
      </c>
      <c r="J703" t="s">
        <v>30</v>
      </c>
      <c r="K703" t="s">
        <v>30</v>
      </c>
      <c r="L703" t="s">
        <v>31</v>
      </c>
      <c r="M703" t="s">
        <v>97</v>
      </c>
      <c r="N703">
        <v>10</v>
      </c>
      <c r="O703">
        <v>3</v>
      </c>
      <c r="P703">
        <v>0</v>
      </c>
      <c r="Q703">
        <v>7785.714285714285</v>
      </c>
      <c r="R703">
        <v>28.32512315270936</v>
      </c>
      <c r="S703">
        <v>274.8695652173913</v>
      </c>
      <c r="T703">
        <v>0</v>
      </c>
      <c r="U703">
        <v>0</v>
      </c>
      <c r="V703">
        <v>0</v>
      </c>
      <c r="W703">
        <v>8.751949058058614</v>
      </c>
      <c r="X703">
        <v>0</v>
      </c>
    </row>
    <row r="704" spans="1:24">
      <c r="A704" t="s">
        <v>2151</v>
      </c>
      <c r="B704" t="s">
        <v>2152</v>
      </c>
      <c r="C704" t="s">
        <v>26</v>
      </c>
      <c r="D704">
        <v>3.486</v>
      </c>
      <c r="E704">
        <v>854</v>
      </c>
      <c r="F704">
        <v>18</v>
      </c>
      <c r="G704" t="s">
        <v>47</v>
      </c>
      <c r="H704" t="s">
        <v>2153</v>
      </c>
      <c r="I704" t="s">
        <v>29</v>
      </c>
      <c r="J704" t="s">
        <v>31</v>
      </c>
      <c r="K704" t="s">
        <v>30</v>
      </c>
      <c r="L704" t="s">
        <v>30</v>
      </c>
      <c r="M704" t="s">
        <v>97</v>
      </c>
      <c r="N704">
        <v>10</v>
      </c>
      <c r="O704">
        <v>3</v>
      </c>
      <c r="P704">
        <v>0</v>
      </c>
      <c r="Q704">
        <v>244.9799196787149</v>
      </c>
      <c r="R704">
        <v>5.163511187607573</v>
      </c>
      <c r="S704">
        <v>47.44444444444444</v>
      </c>
      <c r="T704">
        <v>0</v>
      </c>
      <c r="U704">
        <v>0</v>
      </c>
      <c r="V704">
        <v>0</v>
      </c>
      <c r="W704">
        <v>6.75110146893676</v>
      </c>
      <c r="X704">
        <v>0</v>
      </c>
    </row>
    <row r="705" spans="1:24">
      <c r="A705" t="s">
        <v>2154</v>
      </c>
      <c r="B705" t="s">
        <v>2155</v>
      </c>
      <c r="C705" t="s">
        <v>35</v>
      </c>
      <c r="D705">
        <v>4.466</v>
      </c>
      <c r="E705">
        <v>8525</v>
      </c>
      <c r="F705">
        <v>16</v>
      </c>
      <c r="G705" t="s">
        <v>62</v>
      </c>
      <c r="H705" t="s">
        <v>2156</v>
      </c>
      <c r="I705" t="s">
        <v>29</v>
      </c>
      <c r="J705" t="s">
        <v>30</v>
      </c>
      <c r="K705" t="s">
        <v>30</v>
      </c>
      <c r="L705" t="s">
        <v>30</v>
      </c>
      <c r="M705" t="s">
        <v>39</v>
      </c>
      <c r="N705">
        <v>10</v>
      </c>
      <c r="O705">
        <v>3</v>
      </c>
      <c r="P705">
        <v>0</v>
      </c>
      <c r="Q705">
        <v>1908.866995073892</v>
      </c>
      <c r="R705">
        <v>3.582624272279444</v>
      </c>
      <c r="S705">
        <v>532.8125</v>
      </c>
      <c r="T705">
        <v>0</v>
      </c>
      <c r="U705">
        <v>0</v>
      </c>
      <c r="V705">
        <v>0</v>
      </c>
      <c r="W705">
        <v>9.050875597325156</v>
      </c>
      <c r="X705">
        <v>0</v>
      </c>
    </row>
    <row r="706" spans="1:24">
      <c r="A706" t="s">
        <v>2157</v>
      </c>
      <c r="B706" t="s">
        <v>2158</v>
      </c>
      <c r="C706" t="s">
        <v>26</v>
      </c>
      <c r="D706">
        <v>5.399</v>
      </c>
      <c r="E706">
        <v>3629</v>
      </c>
      <c r="F706">
        <v>14</v>
      </c>
      <c r="G706" t="s">
        <v>47</v>
      </c>
      <c r="H706" t="s">
        <v>2159</v>
      </c>
      <c r="I706" t="s">
        <v>29</v>
      </c>
      <c r="J706" t="s">
        <v>31</v>
      </c>
      <c r="K706" t="s">
        <v>30</v>
      </c>
      <c r="L706" t="s">
        <v>30</v>
      </c>
      <c r="M706" t="s">
        <v>97</v>
      </c>
      <c r="N706">
        <v>10</v>
      </c>
      <c r="O706">
        <v>3</v>
      </c>
      <c r="P706">
        <v>0</v>
      </c>
      <c r="Q706">
        <v>672.1615113909984</v>
      </c>
      <c r="R706">
        <v>2.59307279125764</v>
      </c>
      <c r="S706">
        <v>259.2142857142857</v>
      </c>
      <c r="T706">
        <v>0</v>
      </c>
      <c r="U706">
        <v>0</v>
      </c>
      <c r="V706">
        <v>0</v>
      </c>
      <c r="W706">
        <v>8.196987927258897</v>
      </c>
      <c r="X706">
        <v>0</v>
      </c>
    </row>
    <row r="707" spans="1:24">
      <c r="A707" t="s">
        <v>2160</v>
      </c>
      <c r="B707" t="s">
        <v>2161</v>
      </c>
      <c r="C707" t="s">
        <v>35</v>
      </c>
      <c r="D707">
        <v>1.864</v>
      </c>
      <c r="E707">
        <v>3549</v>
      </c>
      <c r="F707">
        <v>22</v>
      </c>
      <c r="G707" t="s">
        <v>62</v>
      </c>
      <c r="H707" t="s">
        <v>2162</v>
      </c>
      <c r="I707" t="s">
        <v>29</v>
      </c>
      <c r="J707" t="s">
        <v>30</v>
      </c>
      <c r="K707" t="s">
        <v>31</v>
      </c>
      <c r="L707" t="s">
        <v>30</v>
      </c>
      <c r="M707" t="s">
        <v>44</v>
      </c>
      <c r="N707">
        <v>10</v>
      </c>
      <c r="O707">
        <v>3</v>
      </c>
      <c r="P707">
        <v>0</v>
      </c>
      <c r="Q707">
        <v>1903.969957081545</v>
      </c>
      <c r="R707">
        <v>11.80257510729614</v>
      </c>
      <c r="S707">
        <v>161.3181818181818</v>
      </c>
      <c r="T707">
        <v>0</v>
      </c>
      <c r="U707">
        <v>0</v>
      </c>
      <c r="V707">
        <v>0</v>
      </c>
      <c r="W707">
        <v>8.174702882469461</v>
      </c>
      <c r="X707">
        <v>0</v>
      </c>
    </row>
    <row r="708" spans="1:24">
      <c r="A708" t="s">
        <v>2163</v>
      </c>
      <c r="B708" t="s">
        <v>2164</v>
      </c>
      <c r="C708" t="s">
        <v>35</v>
      </c>
      <c r="D708">
        <v>2.657</v>
      </c>
      <c r="E708">
        <v>1000</v>
      </c>
      <c r="F708">
        <v>18</v>
      </c>
      <c r="G708" t="s">
        <v>62</v>
      </c>
      <c r="H708" t="s">
        <v>2165</v>
      </c>
      <c r="I708" t="s">
        <v>29</v>
      </c>
      <c r="J708" t="s">
        <v>30</v>
      </c>
      <c r="K708" t="s">
        <v>30</v>
      </c>
      <c r="L708" t="s">
        <v>30</v>
      </c>
      <c r="M708" t="s">
        <v>32</v>
      </c>
      <c r="N708">
        <v>10</v>
      </c>
      <c r="O708">
        <v>3</v>
      </c>
      <c r="P708">
        <v>0</v>
      </c>
      <c r="Q708">
        <v>376.3643206624012</v>
      </c>
      <c r="R708">
        <v>6.774557771923222</v>
      </c>
      <c r="S708">
        <v>55.55555555555556</v>
      </c>
      <c r="T708">
        <v>0</v>
      </c>
      <c r="U708">
        <v>0</v>
      </c>
      <c r="V708">
        <v>0</v>
      </c>
      <c r="W708">
        <v>6.90875477931522</v>
      </c>
      <c r="X708">
        <v>0</v>
      </c>
    </row>
    <row r="709" spans="1:24">
      <c r="A709" t="s">
        <v>2166</v>
      </c>
      <c r="B709" t="s">
        <v>2167</v>
      </c>
      <c r="C709" t="s">
        <v>35</v>
      </c>
      <c r="D709">
        <v>1.883</v>
      </c>
      <c r="E709">
        <v>890</v>
      </c>
      <c r="F709">
        <v>17</v>
      </c>
      <c r="G709" t="s">
        <v>62</v>
      </c>
      <c r="H709" t="s">
        <v>2168</v>
      </c>
      <c r="I709" t="s">
        <v>29</v>
      </c>
      <c r="J709" t="s">
        <v>30</v>
      </c>
      <c r="K709" t="s">
        <v>30</v>
      </c>
      <c r="L709" t="s">
        <v>30</v>
      </c>
      <c r="M709" t="s">
        <v>44</v>
      </c>
      <c r="N709">
        <v>10</v>
      </c>
      <c r="O709">
        <v>3</v>
      </c>
      <c r="P709">
        <v>0</v>
      </c>
      <c r="Q709">
        <v>472.6500265533723</v>
      </c>
      <c r="R709">
        <v>9.028146574614976</v>
      </c>
      <c r="S709">
        <v>52.35294117647059</v>
      </c>
      <c r="T709">
        <v>0</v>
      </c>
      <c r="U709">
        <v>0</v>
      </c>
      <c r="V709">
        <v>0</v>
      </c>
      <c r="W709">
        <v>6.792344427470809</v>
      </c>
      <c r="X709">
        <v>0</v>
      </c>
    </row>
    <row r="710" spans="1:24">
      <c r="A710" t="s">
        <v>2169</v>
      </c>
      <c r="B710" t="s">
        <v>2170</v>
      </c>
      <c r="C710" t="s">
        <v>26</v>
      </c>
      <c r="D710">
        <v>1.674</v>
      </c>
      <c r="E710">
        <v>3558</v>
      </c>
      <c r="F710">
        <v>15</v>
      </c>
      <c r="G710" t="s">
        <v>62</v>
      </c>
      <c r="H710" t="s">
        <v>2171</v>
      </c>
      <c r="I710" t="s">
        <v>29</v>
      </c>
      <c r="J710" t="s">
        <v>30</v>
      </c>
      <c r="K710" t="s">
        <v>30</v>
      </c>
      <c r="L710" t="s">
        <v>30</v>
      </c>
      <c r="M710" t="s">
        <v>83</v>
      </c>
      <c r="N710">
        <v>11</v>
      </c>
      <c r="O710">
        <v>3</v>
      </c>
      <c r="P710">
        <v>0</v>
      </c>
      <c r="Q710">
        <v>2125.448028673836</v>
      </c>
      <c r="R710">
        <v>8.960573476702509</v>
      </c>
      <c r="S710">
        <v>237.2</v>
      </c>
      <c r="T710">
        <v>0</v>
      </c>
      <c r="U710">
        <v>0</v>
      </c>
      <c r="V710">
        <v>0</v>
      </c>
      <c r="W710">
        <v>8.177234885510194</v>
      </c>
      <c r="X710">
        <v>0</v>
      </c>
    </row>
    <row r="711" spans="1:24">
      <c r="A711" t="s">
        <v>2172</v>
      </c>
      <c r="B711" t="s">
        <v>2173</v>
      </c>
      <c r="C711" t="s">
        <v>35</v>
      </c>
      <c r="D711">
        <v>2.548</v>
      </c>
      <c r="E711">
        <v>11161</v>
      </c>
      <c r="F711">
        <v>18</v>
      </c>
      <c r="G711" t="s">
        <v>47</v>
      </c>
      <c r="H711" t="s">
        <v>2174</v>
      </c>
      <c r="I711" t="s">
        <v>29</v>
      </c>
      <c r="J711" t="s">
        <v>31</v>
      </c>
      <c r="K711" t="s">
        <v>38</v>
      </c>
      <c r="L711" t="s">
        <v>31</v>
      </c>
      <c r="M711" t="s">
        <v>76</v>
      </c>
      <c r="N711">
        <v>11</v>
      </c>
      <c r="O711">
        <v>3</v>
      </c>
      <c r="P711">
        <v>0</v>
      </c>
      <c r="Q711">
        <v>4380.298273155416</v>
      </c>
      <c r="R711">
        <v>7.06436420722135</v>
      </c>
      <c r="S711">
        <v>620.0555555555555</v>
      </c>
      <c r="T711">
        <v>0</v>
      </c>
      <c r="U711">
        <v>0</v>
      </c>
      <c r="V711">
        <v>1</v>
      </c>
      <c r="W711">
        <v>9.320270431348378</v>
      </c>
      <c r="X711">
        <v>0</v>
      </c>
    </row>
    <row r="712" spans="1:24">
      <c r="A712" t="s">
        <v>2175</v>
      </c>
      <c r="B712" t="s">
        <v>2176</v>
      </c>
      <c r="C712" t="s">
        <v>35</v>
      </c>
      <c r="D712">
        <v>8.353999999999999</v>
      </c>
      <c r="E712">
        <v>6002</v>
      </c>
      <c r="F712">
        <v>18</v>
      </c>
      <c r="G712" t="s">
        <v>62</v>
      </c>
      <c r="H712" t="s">
        <v>2177</v>
      </c>
      <c r="I712" t="s">
        <v>29</v>
      </c>
      <c r="J712" t="s">
        <v>30</v>
      </c>
      <c r="K712" t="s">
        <v>38</v>
      </c>
      <c r="L712" t="s">
        <v>30</v>
      </c>
      <c r="M712" t="s">
        <v>32</v>
      </c>
      <c r="N712">
        <v>11</v>
      </c>
      <c r="O712">
        <v>3</v>
      </c>
      <c r="P712">
        <v>0</v>
      </c>
      <c r="Q712">
        <v>718.4582236054586</v>
      </c>
      <c r="R712">
        <v>2.154656451999043</v>
      </c>
      <c r="S712">
        <v>333.4444444444445</v>
      </c>
      <c r="T712">
        <v>0</v>
      </c>
      <c r="U712">
        <v>0</v>
      </c>
      <c r="V712">
        <v>0</v>
      </c>
      <c r="W712">
        <v>8.700014623251842</v>
      </c>
      <c r="X712">
        <v>0</v>
      </c>
    </row>
    <row r="713" spans="1:24">
      <c r="A713" t="s">
        <v>2178</v>
      </c>
      <c r="B713" t="s">
        <v>2179</v>
      </c>
      <c r="C713" t="s">
        <v>35</v>
      </c>
      <c r="D713">
        <v>0.64</v>
      </c>
      <c r="E713">
        <v>1317</v>
      </c>
      <c r="F713">
        <v>22</v>
      </c>
      <c r="G713" t="s">
        <v>36</v>
      </c>
      <c r="H713" t="s">
        <v>2180</v>
      </c>
      <c r="I713" t="s">
        <v>29</v>
      </c>
      <c r="J713" t="s">
        <v>38</v>
      </c>
      <c r="K713" t="s">
        <v>30</v>
      </c>
      <c r="L713" t="s">
        <v>30</v>
      </c>
      <c r="M713" t="s">
        <v>76</v>
      </c>
      <c r="N713">
        <v>11</v>
      </c>
      <c r="O713">
        <v>3</v>
      </c>
      <c r="P713">
        <v>0</v>
      </c>
      <c r="Q713">
        <v>2057.8125</v>
      </c>
      <c r="R713">
        <v>34.375</v>
      </c>
      <c r="S713">
        <v>59.86363636363637</v>
      </c>
      <c r="T713">
        <v>0</v>
      </c>
      <c r="U713">
        <v>0</v>
      </c>
      <c r="V713">
        <v>0</v>
      </c>
      <c r="W713">
        <v>7.183870715062453</v>
      </c>
      <c r="X713">
        <v>0</v>
      </c>
    </row>
    <row r="714" spans="1:24">
      <c r="A714" t="s">
        <v>2181</v>
      </c>
      <c r="B714" t="s">
        <v>2182</v>
      </c>
      <c r="C714" t="s">
        <v>26</v>
      </c>
      <c r="D714">
        <v>1.046</v>
      </c>
      <c r="E714">
        <v>1878</v>
      </c>
      <c r="F714">
        <v>17</v>
      </c>
      <c r="G714" t="s">
        <v>62</v>
      </c>
      <c r="H714" t="s">
        <v>2183</v>
      </c>
      <c r="I714" t="s">
        <v>29</v>
      </c>
      <c r="J714" t="s">
        <v>30</v>
      </c>
      <c r="K714" t="s">
        <v>31</v>
      </c>
      <c r="L714" t="s">
        <v>31</v>
      </c>
      <c r="M714" t="s">
        <v>97</v>
      </c>
      <c r="N714">
        <v>11</v>
      </c>
      <c r="O714">
        <v>3</v>
      </c>
      <c r="P714">
        <v>0</v>
      </c>
      <c r="Q714">
        <v>1795.411089866157</v>
      </c>
      <c r="R714">
        <v>16.25239005736137</v>
      </c>
      <c r="S714">
        <v>110.4705882352941</v>
      </c>
      <c r="T714">
        <v>0</v>
      </c>
      <c r="U714">
        <v>0</v>
      </c>
      <c r="V714">
        <v>0</v>
      </c>
      <c r="W714">
        <v>7.538494999413465</v>
      </c>
      <c r="X714">
        <v>0</v>
      </c>
    </row>
    <row r="715" spans="1:24">
      <c r="A715" t="s">
        <v>2184</v>
      </c>
      <c r="B715" t="s">
        <v>2185</v>
      </c>
      <c r="C715" t="s">
        <v>35</v>
      </c>
      <c r="D715">
        <v>4.589</v>
      </c>
      <c r="E715">
        <v>3474</v>
      </c>
      <c r="F715">
        <v>19</v>
      </c>
      <c r="G715" t="s">
        <v>47</v>
      </c>
      <c r="H715" t="s">
        <v>2186</v>
      </c>
      <c r="I715" t="s">
        <v>29</v>
      </c>
      <c r="J715" t="s">
        <v>31</v>
      </c>
      <c r="K715" t="s">
        <v>30</v>
      </c>
      <c r="L715" t="s">
        <v>30</v>
      </c>
      <c r="M715" t="s">
        <v>76</v>
      </c>
      <c r="N715">
        <v>11</v>
      </c>
      <c r="O715">
        <v>3</v>
      </c>
      <c r="P715">
        <v>0</v>
      </c>
      <c r="Q715">
        <v>757.0276748747003</v>
      </c>
      <c r="R715">
        <v>4.140335585094792</v>
      </c>
      <c r="S715">
        <v>182.8421052631579</v>
      </c>
      <c r="T715">
        <v>0</v>
      </c>
      <c r="U715">
        <v>0</v>
      </c>
      <c r="V715">
        <v>0</v>
      </c>
      <c r="W715">
        <v>8.153349757998892</v>
      </c>
      <c r="X715">
        <v>0</v>
      </c>
    </row>
    <row r="716" spans="1:24">
      <c r="A716" t="s">
        <v>2187</v>
      </c>
      <c r="B716" t="s">
        <v>2188</v>
      </c>
      <c r="C716" t="s">
        <v>35</v>
      </c>
      <c r="D716">
        <v>5.622</v>
      </c>
      <c r="E716">
        <v>1345</v>
      </c>
      <c r="F716">
        <v>19</v>
      </c>
      <c r="G716" t="s">
        <v>27</v>
      </c>
      <c r="H716" t="s">
        <v>2189</v>
      </c>
      <c r="I716" t="s">
        <v>29</v>
      </c>
      <c r="J716" t="s">
        <v>30</v>
      </c>
      <c r="K716" t="s">
        <v>30</v>
      </c>
      <c r="L716" t="s">
        <v>31</v>
      </c>
      <c r="M716" t="s">
        <v>83</v>
      </c>
      <c r="N716">
        <v>11</v>
      </c>
      <c r="O716">
        <v>3</v>
      </c>
      <c r="P716">
        <v>0</v>
      </c>
      <c r="Q716">
        <v>239.2387050871576</v>
      </c>
      <c r="R716">
        <v>3.379580220562078</v>
      </c>
      <c r="S716">
        <v>70.78947368421052</v>
      </c>
      <c r="T716">
        <v>0</v>
      </c>
      <c r="U716">
        <v>0</v>
      </c>
      <c r="V716">
        <v>0</v>
      </c>
      <c r="W716">
        <v>7.204892510204673</v>
      </c>
      <c r="X716">
        <v>0</v>
      </c>
    </row>
    <row r="717" spans="1:24">
      <c r="A717" t="s">
        <v>2190</v>
      </c>
      <c r="B717" t="s">
        <v>2191</v>
      </c>
      <c r="C717" t="s">
        <v>35</v>
      </c>
      <c r="D717">
        <v>3.056</v>
      </c>
      <c r="E717">
        <v>2100</v>
      </c>
      <c r="F717">
        <v>10</v>
      </c>
      <c r="G717" t="s">
        <v>62</v>
      </c>
      <c r="H717" t="s">
        <v>2192</v>
      </c>
      <c r="I717" t="s">
        <v>29</v>
      </c>
      <c r="J717" t="s">
        <v>30</v>
      </c>
      <c r="K717" t="s">
        <v>30</v>
      </c>
      <c r="L717" t="s">
        <v>38</v>
      </c>
      <c r="M717" t="s">
        <v>76</v>
      </c>
      <c r="N717">
        <v>11</v>
      </c>
      <c r="O717">
        <v>3</v>
      </c>
      <c r="P717">
        <v>0</v>
      </c>
      <c r="Q717">
        <v>687.17277486911</v>
      </c>
      <c r="R717">
        <v>3.272251308900524</v>
      </c>
      <c r="S717">
        <v>210</v>
      </c>
      <c r="T717">
        <v>0</v>
      </c>
      <c r="U717">
        <v>0</v>
      </c>
      <c r="V717">
        <v>0</v>
      </c>
      <c r="W717">
        <v>7.650168700845001</v>
      </c>
      <c r="X717">
        <v>0</v>
      </c>
    </row>
    <row r="718" spans="1:24">
      <c r="A718" t="s">
        <v>2193</v>
      </c>
      <c r="B718" t="s">
        <v>2194</v>
      </c>
      <c r="C718" t="s">
        <v>35</v>
      </c>
      <c r="D718">
        <v>0.544</v>
      </c>
      <c r="E718">
        <v>1477</v>
      </c>
      <c r="F718">
        <v>24</v>
      </c>
      <c r="G718" t="s">
        <v>62</v>
      </c>
      <c r="H718" t="s">
        <v>2195</v>
      </c>
      <c r="I718" t="s">
        <v>29</v>
      </c>
      <c r="J718" t="s">
        <v>30</v>
      </c>
      <c r="K718" t="s">
        <v>31</v>
      </c>
      <c r="L718" t="s">
        <v>30</v>
      </c>
      <c r="M718" t="s">
        <v>39</v>
      </c>
      <c r="N718">
        <v>11</v>
      </c>
      <c r="O718">
        <v>3</v>
      </c>
      <c r="P718">
        <v>0</v>
      </c>
      <c r="Q718">
        <v>2715.073529411764</v>
      </c>
      <c r="R718">
        <v>44.11764705882353</v>
      </c>
      <c r="S718">
        <v>61.54166666666666</v>
      </c>
      <c r="T718">
        <v>0</v>
      </c>
      <c r="U718">
        <v>0</v>
      </c>
      <c r="V718">
        <v>0</v>
      </c>
      <c r="W718">
        <v>7.298445101508147</v>
      </c>
      <c r="X718">
        <v>0</v>
      </c>
    </row>
    <row r="719" spans="1:24">
      <c r="A719" t="s">
        <v>2196</v>
      </c>
      <c r="B719" t="s">
        <v>2197</v>
      </c>
      <c r="C719" t="s">
        <v>35</v>
      </c>
      <c r="D719">
        <v>0.8139999999999999</v>
      </c>
      <c r="E719">
        <v>612</v>
      </c>
      <c r="F719">
        <v>12</v>
      </c>
      <c r="G719" t="s">
        <v>36</v>
      </c>
      <c r="H719" t="s">
        <v>2198</v>
      </c>
      <c r="I719" t="s">
        <v>29</v>
      </c>
      <c r="J719" t="s">
        <v>38</v>
      </c>
      <c r="K719" t="s">
        <v>30</v>
      </c>
      <c r="L719" t="s">
        <v>30</v>
      </c>
      <c r="M719" t="s">
        <v>32</v>
      </c>
      <c r="N719">
        <v>11</v>
      </c>
      <c r="O719">
        <v>3</v>
      </c>
      <c r="P719">
        <v>0</v>
      </c>
      <c r="Q719">
        <v>751.8427518427519</v>
      </c>
      <c r="R719">
        <v>14.74201474201474</v>
      </c>
      <c r="S719">
        <v>51</v>
      </c>
      <c r="T719">
        <v>0</v>
      </c>
      <c r="U719">
        <v>0</v>
      </c>
      <c r="V719">
        <v>0</v>
      </c>
      <c r="W719">
        <v>6.418364935936212</v>
      </c>
      <c r="X719">
        <v>0</v>
      </c>
    </row>
    <row r="720" spans="1:24">
      <c r="A720" t="s">
        <v>2199</v>
      </c>
      <c r="B720" t="s">
        <v>2200</v>
      </c>
      <c r="C720" t="s">
        <v>26</v>
      </c>
      <c r="D720">
        <v>0.15</v>
      </c>
      <c r="E720">
        <v>3379</v>
      </c>
      <c r="F720">
        <v>4</v>
      </c>
      <c r="G720" t="s">
        <v>47</v>
      </c>
      <c r="H720" t="s">
        <v>2201</v>
      </c>
      <c r="I720" t="s">
        <v>90</v>
      </c>
      <c r="J720" t="s">
        <v>31</v>
      </c>
      <c r="K720" t="s">
        <v>30</v>
      </c>
      <c r="L720" t="s">
        <v>31</v>
      </c>
      <c r="M720" t="s">
        <v>97</v>
      </c>
      <c r="N720">
        <v>11</v>
      </c>
      <c r="O720">
        <v>3</v>
      </c>
      <c r="P720">
        <v>0</v>
      </c>
      <c r="Q720">
        <v>22526.66666666667</v>
      </c>
      <c r="R720">
        <v>26.66666666666667</v>
      </c>
      <c r="S720">
        <v>844.75</v>
      </c>
      <c r="T720">
        <v>0</v>
      </c>
      <c r="U720">
        <v>0</v>
      </c>
      <c r="V720">
        <v>0</v>
      </c>
      <c r="W720">
        <v>8.125630988477065</v>
      </c>
      <c r="X720">
        <v>1</v>
      </c>
    </row>
    <row r="721" spans="1:24">
      <c r="A721" t="s">
        <v>2202</v>
      </c>
      <c r="B721" t="s">
        <v>2203</v>
      </c>
      <c r="C721" t="s">
        <v>26</v>
      </c>
      <c r="D721">
        <v>6.347</v>
      </c>
      <c r="E721">
        <v>2280</v>
      </c>
      <c r="F721">
        <v>15</v>
      </c>
      <c r="G721" t="s">
        <v>27</v>
      </c>
      <c r="H721" t="s">
        <v>2204</v>
      </c>
      <c r="I721" t="s">
        <v>29</v>
      </c>
      <c r="J721" t="s">
        <v>30</v>
      </c>
      <c r="K721" t="s">
        <v>30</v>
      </c>
      <c r="L721" t="s">
        <v>30</v>
      </c>
      <c r="M721" t="s">
        <v>76</v>
      </c>
      <c r="N721">
        <v>11</v>
      </c>
      <c r="O721">
        <v>3</v>
      </c>
      <c r="P721">
        <v>0</v>
      </c>
      <c r="Q721">
        <v>359.2248306286434</v>
      </c>
      <c r="R721">
        <v>2.363321254135812</v>
      </c>
      <c r="S721">
        <v>152</v>
      </c>
      <c r="T721">
        <v>0</v>
      </c>
      <c r="U721">
        <v>0</v>
      </c>
      <c r="V721">
        <v>0</v>
      </c>
      <c r="W721">
        <v>7.732369222284388</v>
      </c>
      <c r="X721">
        <v>0</v>
      </c>
    </row>
    <row r="722" spans="1:24">
      <c r="A722" t="s">
        <v>2205</v>
      </c>
      <c r="B722" t="s">
        <v>2206</v>
      </c>
      <c r="C722" t="s">
        <v>52</v>
      </c>
      <c r="D722">
        <v>5.128</v>
      </c>
      <c r="E722">
        <v>4300</v>
      </c>
      <c r="F722">
        <v>18</v>
      </c>
      <c r="G722" t="s">
        <v>47</v>
      </c>
      <c r="H722" t="s">
        <v>2207</v>
      </c>
      <c r="I722" t="s">
        <v>29</v>
      </c>
      <c r="J722" t="s">
        <v>31</v>
      </c>
      <c r="K722" t="s">
        <v>38</v>
      </c>
      <c r="L722" t="s">
        <v>31</v>
      </c>
      <c r="M722" t="s">
        <v>97</v>
      </c>
      <c r="N722">
        <v>12</v>
      </c>
      <c r="O722">
        <v>3</v>
      </c>
      <c r="P722">
        <v>0</v>
      </c>
      <c r="Q722">
        <v>838.5335413416536</v>
      </c>
      <c r="R722">
        <v>3.510140405616224</v>
      </c>
      <c r="S722">
        <v>238.8888888888889</v>
      </c>
      <c r="T722">
        <v>0</v>
      </c>
      <c r="U722">
        <v>0</v>
      </c>
      <c r="V722">
        <v>0</v>
      </c>
      <c r="W722">
        <v>8.366602832783736</v>
      </c>
      <c r="X722">
        <v>0</v>
      </c>
    </row>
    <row r="723" spans="1:24">
      <c r="A723" t="s">
        <v>2208</v>
      </c>
      <c r="B723" t="s">
        <v>2209</v>
      </c>
      <c r="C723" t="s">
        <v>35</v>
      </c>
      <c r="D723">
        <v>4.471</v>
      </c>
      <c r="E723">
        <v>13590</v>
      </c>
      <c r="F723">
        <v>19</v>
      </c>
      <c r="G723" t="s">
        <v>62</v>
      </c>
      <c r="H723" t="s">
        <v>2210</v>
      </c>
      <c r="I723" t="s">
        <v>29</v>
      </c>
      <c r="J723" t="s">
        <v>30</v>
      </c>
      <c r="K723" t="s">
        <v>31</v>
      </c>
      <c r="L723" t="s">
        <v>31</v>
      </c>
      <c r="M723" t="s">
        <v>44</v>
      </c>
      <c r="N723">
        <v>12</v>
      </c>
      <c r="O723">
        <v>3</v>
      </c>
      <c r="P723">
        <v>0</v>
      </c>
      <c r="Q723">
        <v>3039.588458957728</v>
      </c>
      <c r="R723">
        <v>4.249608588682621</v>
      </c>
      <c r="S723">
        <v>715.2631578947369</v>
      </c>
      <c r="T723">
        <v>0</v>
      </c>
      <c r="U723">
        <v>0</v>
      </c>
      <c r="V723">
        <v>1</v>
      </c>
      <c r="W723">
        <v>9.517163087955348</v>
      </c>
      <c r="X723">
        <v>0</v>
      </c>
    </row>
    <row r="724" spans="1:24">
      <c r="A724" t="s">
        <v>2211</v>
      </c>
      <c r="B724" t="s">
        <v>2212</v>
      </c>
      <c r="C724" t="s">
        <v>35</v>
      </c>
      <c r="D724">
        <v>5.59</v>
      </c>
      <c r="E724">
        <v>857</v>
      </c>
      <c r="F724">
        <v>28</v>
      </c>
      <c r="G724" t="s">
        <v>27</v>
      </c>
      <c r="H724" t="s">
        <v>2213</v>
      </c>
      <c r="I724" t="s">
        <v>29</v>
      </c>
      <c r="J724" t="s">
        <v>30</v>
      </c>
      <c r="K724" t="s">
        <v>30</v>
      </c>
      <c r="L724" t="s">
        <v>30</v>
      </c>
      <c r="M724" t="s">
        <v>97</v>
      </c>
      <c r="N724">
        <v>12</v>
      </c>
      <c r="O724">
        <v>3</v>
      </c>
      <c r="P724">
        <v>0</v>
      </c>
      <c r="Q724">
        <v>153.309481216458</v>
      </c>
      <c r="R724">
        <v>5.008944543828265</v>
      </c>
      <c r="S724">
        <v>30.60714285714286</v>
      </c>
      <c r="T724">
        <v>0</v>
      </c>
      <c r="U724">
        <v>0</v>
      </c>
      <c r="V724">
        <v>0</v>
      </c>
      <c r="W724">
        <v>6.754604099487962</v>
      </c>
      <c r="X724">
        <v>0</v>
      </c>
    </row>
    <row r="725" spans="1:24">
      <c r="A725" t="s">
        <v>2214</v>
      </c>
      <c r="B725" t="s">
        <v>2215</v>
      </c>
      <c r="C725" t="s">
        <v>35</v>
      </c>
      <c r="D725">
        <v>1.756</v>
      </c>
      <c r="E725">
        <v>3573</v>
      </c>
      <c r="F725">
        <v>16</v>
      </c>
      <c r="G725" t="s">
        <v>47</v>
      </c>
      <c r="H725" t="s">
        <v>2216</v>
      </c>
      <c r="I725" t="s">
        <v>29</v>
      </c>
      <c r="J725" t="s">
        <v>31</v>
      </c>
      <c r="K725" t="s">
        <v>38</v>
      </c>
      <c r="L725" t="s">
        <v>30</v>
      </c>
      <c r="M725" t="s">
        <v>44</v>
      </c>
      <c r="N725">
        <v>12</v>
      </c>
      <c r="O725">
        <v>3</v>
      </c>
      <c r="P725">
        <v>0</v>
      </c>
      <c r="Q725">
        <v>2034.738041002278</v>
      </c>
      <c r="R725">
        <v>9.111617312072893</v>
      </c>
      <c r="S725">
        <v>223.3125</v>
      </c>
      <c r="T725">
        <v>0</v>
      </c>
      <c r="U725">
        <v>0</v>
      </c>
      <c r="V725">
        <v>0</v>
      </c>
      <c r="W725">
        <v>8.181440695719374</v>
      </c>
      <c r="X725">
        <v>0</v>
      </c>
    </row>
    <row r="726" spans="1:24">
      <c r="A726" t="s">
        <v>2217</v>
      </c>
      <c r="B726" t="s">
        <v>2218</v>
      </c>
      <c r="C726" t="s">
        <v>35</v>
      </c>
      <c r="D726">
        <v>5.403</v>
      </c>
      <c r="E726">
        <v>3362</v>
      </c>
      <c r="F726">
        <v>23</v>
      </c>
      <c r="G726" t="s">
        <v>47</v>
      </c>
      <c r="H726" t="s">
        <v>2219</v>
      </c>
      <c r="I726" t="s">
        <v>29</v>
      </c>
      <c r="J726" t="s">
        <v>31</v>
      </c>
      <c r="K726" t="s">
        <v>31</v>
      </c>
      <c r="L726" t="s">
        <v>31</v>
      </c>
      <c r="M726" t="s">
        <v>97</v>
      </c>
      <c r="N726">
        <v>12</v>
      </c>
      <c r="O726">
        <v>3</v>
      </c>
      <c r="P726">
        <v>0</v>
      </c>
      <c r="Q726">
        <v>622.2468998704423</v>
      </c>
      <c r="R726">
        <v>4.256894317971498</v>
      </c>
      <c r="S726">
        <v>146.1739130434783</v>
      </c>
      <c r="T726">
        <v>0</v>
      </c>
      <c r="U726">
        <v>0</v>
      </c>
      <c r="V726">
        <v>0</v>
      </c>
      <c r="W726">
        <v>8.12058871174027</v>
      </c>
      <c r="X726">
        <v>0</v>
      </c>
    </row>
    <row r="727" spans="1:24">
      <c r="A727" t="s">
        <v>2220</v>
      </c>
      <c r="B727" t="s">
        <v>2221</v>
      </c>
      <c r="C727" t="s">
        <v>35</v>
      </c>
      <c r="D727">
        <v>3.026</v>
      </c>
      <c r="E727">
        <v>671</v>
      </c>
      <c r="F727">
        <v>17</v>
      </c>
      <c r="G727" t="s">
        <v>62</v>
      </c>
      <c r="H727" t="s">
        <v>2222</v>
      </c>
      <c r="I727" t="s">
        <v>29</v>
      </c>
      <c r="J727" t="s">
        <v>30</v>
      </c>
      <c r="K727" t="s">
        <v>30</v>
      </c>
      <c r="L727" t="s">
        <v>31</v>
      </c>
      <c r="M727" t="s">
        <v>39</v>
      </c>
      <c r="N727">
        <v>12</v>
      </c>
      <c r="O727">
        <v>3</v>
      </c>
      <c r="P727">
        <v>0</v>
      </c>
      <c r="Q727">
        <v>221.7448777263715</v>
      </c>
      <c r="R727">
        <v>5.617977528089888</v>
      </c>
      <c r="S727">
        <v>39.47058823529412</v>
      </c>
      <c r="T727">
        <v>0</v>
      </c>
      <c r="U727">
        <v>0</v>
      </c>
      <c r="V727">
        <v>0</v>
      </c>
      <c r="W727">
        <v>6.51025834052315</v>
      </c>
      <c r="X727">
        <v>0</v>
      </c>
    </row>
    <row r="728" spans="1:24">
      <c r="A728" t="s">
        <v>2223</v>
      </c>
      <c r="B728" t="s">
        <v>2224</v>
      </c>
      <c r="C728" t="s">
        <v>26</v>
      </c>
      <c r="D728">
        <v>4.323</v>
      </c>
      <c r="E728">
        <v>2473</v>
      </c>
      <c r="F728">
        <v>14</v>
      </c>
      <c r="G728" t="s">
        <v>47</v>
      </c>
      <c r="H728" t="s">
        <v>2225</v>
      </c>
      <c r="I728" t="s">
        <v>29</v>
      </c>
      <c r="J728" t="s">
        <v>31</v>
      </c>
      <c r="K728" t="s">
        <v>30</v>
      </c>
      <c r="L728" t="s">
        <v>30</v>
      </c>
      <c r="M728" t="s">
        <v>44</v>
      </c>
      <c r="N728">
        <v>12</v>
      </c>
      <c r="O728">
        <v>3</v>
      </c>
      <c r="P728">
        <v>0</v>
      </c>
      <c r="Q728">
        <v>572.0564422854499</v>
      </c>
      <c r="R728">
        <v>3.238491788110109</v>
      </c>
      <c r="S728">
        <v>176.6428571428571</v>
      </c>
      <c r="T728">
        <v>0</v>
      </c>
      <c r="U728">
        <v>0</v>
      </c>
      <c r="V728">
        <v>0</v>
      </c>
      <c r="W728">
        <v>7.813591552952433</v>
      </c>
      <c r="X728">
        <v>0</v>
      </c>
    </row>
    <row r="729" spans="1:24">
      <c r="A729" t="s">
        <v>2226</v>
      </c>
      <c r="B729" t="s">
        <v>2227</v>
      </c>
      <c r="C729" t="s">
        <v>35</v>
      </c>
      <c r="D729">
        <v>6.349</v>
      </c>
      <c r="E729">
        <v>5806</v>
      </c>
      <c r="F729">
        <v>20</v>
      </c>
      <c r="G729" t="s">
        <v>47</v>
      </c>
      <c r="H729" t="s">
        <v>2228</v>
      </c>
      <c r="I729" t="s">
        <v>29</v>
      </c>
      <c r="J729" t="s">
        <v>31</v>
      </c>
      <c r="K729" t="s">
        <v>38</v>
      </c>
      <c r="L729" t="s">
        <v>30</v>
      </c>
      <c r="M729" t="s">
        <v>83</v>
      </c>
      <c r="N729">
        <v>12</v>
      </c>
      <c r="O729">
        <v>3</v>
      </c>
      <c r="P729">
        <v>0</v>
      </c>
      <c r="Q729">
        <v>914.474720428414</v>
      </c>
      <c r="R729">
        <v>3.150102378327296</v>
      </c>
      <c r="S729">
        <v>290.3</v>
      </c>
      <c r="T729">
        <v>0</v>
      </c>
      <c r="U729">
        <v>0</v>
      </c>
      <c r="V729">
        <v>0</v>
      </c>
      <c r="W729">
        <v>8.666819365372049</v>
      </c>
      <c r="X729">
        <v>0</v>
      </c>
    </row>
    <row r="730" spans="1:24">
      <c r="A730" t="s">
        <v>2229</v>
      </c>
      <c r="B730" t="s">
        <v>2230</v>
      </c>
      <c r="C730" t="s">
        <v>26</v>
      </c>
      <c r="D730">
        <v>2.633</v>
      </c>
      <c r="E730">
        <v>4291</v>
      </c>
      <c r="F730">
        <v>23</v>
      </c>
      <c r="G730" t="s">
        <v>36</v>
      </c>
      <c r="H730" t="s">
        <v>2231</v>
      </c>
      <c r="I730" t="s">
        <v>29</v>
      </c>
      <c r="J730" t="s">
        <v>38</v>
      </c>
      <c r="K730" t="s">
        <v>31</v>
      </c>
      <c r="L730" t="s">
        <v>38</v>
      </c>
      <c r="M730" t="s">
        <v>97</v>
      </c>
      <c r="N730">
        <v>12</v>
      </c>
      <c r="O730">
        <v>3</v>
      </c>
      <c r="P730">
        <v>0</v>
      </c>
      <c r="Q730">
        <v>1629.699962020509</v>
      </c>
      <c r="R730">
        <v>8.735282947208507</v>
      </c>
      <c r="S730">
        <v>186.5652173913044</v>
      </c>
      <c r="T730">
        <v>0</v>
      </c>
      <c r="U730">
        <v>0</v>
      </c>
      <c r="V730">
        <v>0</v>
      </c>
      <c r="W730">
        <v>8.364508103750589</v>
      </c>
      <c r="X730">
        <v>0</v>
      </c>
    </row>
    <row r="731" spans="1:24">
      <c r="A731" t="s">
        <v>2232</v>
      </c>
      <c r="B731" t="s">
        <v>2233</v>
      </c>
      <c r="C731" t="s">
        <v>26</v>
      </c>
      <c r="D731">
        <v>3.581</v>
      </c>
      <c r="E731">
        <v>3012</v>
      </c>
      <c r="F731">
        <v>18</v>
      </c>
      <c r="G731" t="s">
        <v>47</v>
      </c>
      <c r="H731" t="s">
        <v>2234</v>
      </c>
      <c r="I731" t="s">
        <v>29</v>
      </c>
      <c r="J731" t="s">
        <v>31</v>
      </c>
      <c r="K731" t="s">
        <v>30</v>
      </c>
      <c r="L731" t="s">
        <v>30</v>
      </c>
      <c r="M731" t="s">
        <v>39</v>
      </c>
      <c r="N731">
        <v>12</v>
      </c>
      <c r="O731">
        <v>3</v>
      </c>
      <c r="P731">
        <v>0</v>
      </c>
      <c r="Q731">
        <v>841.105836358559</v>
      </c>
      <c r="R731">
        <v>5.026528902541189</v>
      </c>
      <c r="S731">
        <v>167.3333333333333</v>
      </c>
      <c r="T731">
        <v>0</v>
      </c>
      <c r="U731">
        <v>0</v>
      </c>
      <c r="V731">
        <v>0</v>
      </c>
      <c r="W731">
        <v>8.010691539130301</v>
      </c>
      <c r="X731">
        <v>0</v>
      </c>
    </row>
    <row r="732" spans="1:24">
      <c r="A732" t="s">
        <v>2235</v>
      </c>
      <c r="B732" t="s">
        <v>2236</v>
      </c>
      <c r="C732" t="s">
        <v>52</v>
      </c>
      <c r="D732">
        <v>4.716</v>
      </c>
      <c r="E732">
        <v>1423</v>
      </c>
      <c r="F732">
        <v>21</v>
      </c>
      <c r="G732" t="s">
        <v>47</v>
      </c>
      <c r="H732" t="s">
        <v>2237</v>
      </c>
      <c r="I732" t="s">
        <v>29</v>
      </c>
      <c r="J732" t="s">
        <v>31</v>
      </c>
      <c r="K732" t="s">
        <v>30</v>
      </c>
      <c r="L732" t="s">
        <v>31</v>
      </c>
      <c r="M732" t="s">
        <v>32</v>
      </c>
      <c r="N732">
        <v>12</v>
      </c>
      <c r="O732">
        <v>3</v>
      </c>
      <c r="P732">
        <v>0</v>
      </c>
      <c r="Q732">
        <v>301.7387616624258</v>
      </c>
      <c r="R732">
        <v>4.452926208651399</v>
      </c>
      <c r="S732">
        <v>67.76190476190476</v>
      </c>
      <c r="T732">
        <v>0</v>
      </c>
      <c r="U732">
        <v>0</v>
      </c>
      <c r="V732">
        <v>0</v>
      </c>
      <c r="W732">
        <v>7.261225091971921</v>
      </c>
      <c r="X732">
        <v>0</v>
      </c>
    </row>
    <row r="733" spans="1:24">
      <c r="A733" t="s">
        <v>2238</v>
      </c>
      <c r="B733" t="s">
        <v>2239</v>
      </c>
      <c r="C733" t="s">
        <v>35</v>
      </c>
      <c r="D733">
        <v>0.741</v>
      </c>
      <c r="E733">
        <v>1729</v>
      </c>
      <c r="F733">
        <v>18</v>
      </c>
      <c r="G733" t="s">
        <v>36</v>
      </c>
      <c r="H733" t="s">
        <v>2240</v>
      </c>
      <c r="I733" t="s">
        <v>29</v>
      </c>
      <c r="J733" t="s">
        <v>38</v>
      </c>
      <c r="K733" t="s">
        <v>30</v>
      </c>
      <c r="L733" t="s">
        <v>30</v>
      </c>
      <c r="M733" t="s">
        <v>97</v>
      </c>
      <c r="N733">
        <v>12</v>
      </c>
      <c r="O733">
        <v>3</v>
      </c>
      <c r="P733">
        <v>0</v>
      </c>
      <c r="Q733">
        <v>2333.333333333333</v>
      </c>
      <c r="R733">
        <v>24.29149797570851</v>
      </c>
      <c r="S733">
        <v>96.05555555555556</v>
      </c>
      <c r="T733">
        <v>0</v>
      </c>
      <c r="U733">
        <v>0</v>
      </c>
      <c r="V733">
        <v>0</v>
      </c>
      <c r="W733">
        <v>7.455876687491824</v>
      </c>
      <c r="X733">
        <v>0</v>
      </c>
    </row>
    <row r="734" spans="1:24">
      <c r="A734" t="s">
        <v>2241</v>
      </c>
      <c r="B734" t="s">
        <v>2242</v>
      </c>
      <c r="C734" t="s">
        <v>35</v>
      </c>
      <c r="D734">
        <v>2.271</v>
      </c>
      <c r="E734">
        <v>2000</v>
      </c>
      <c r="F734">
        <v>13</v>
      </c>
      <c r="G734" t="s">
        <v>36</v>
      </c>
      <c r="H734" t="s">
        <v>2243</v>
      </c>
      <c r="I734" t="s">
        <v>29</v>
      </c>
      <c r="J734" t="s">
        <v>38</v>
      </c>
      <c r="K734" t="s">
        <v>30</v>
      </c>
      <c r="L734" t="s">
        <v>30</v>
      </c>
      <c r="M734" t="s">
        <v>97</v>
      </c>
      <c r="N734">
        <v>13</v>
      </c>
      <c r="O734">
        <v>3</v>
      </c>
      <c r="P734">
        <v>0</v>
      </c>
      <c r="Q734">
        <v>880.6693086745927</v>
      </c>
      <c r="R734">
        <v>5.724350506384853</v>
      </c>
      <c r="S734">
        <v>153.8461538461538</v>
      </c>
      <c r="T734">
        <v>0</v>
      </c>
      <c r="U734">
        <v>0</v>
      </c>
      <c r="V734">
        <v>0</v>
      </c>
      <c r="W734">
        <v>7.601402334583733</v>
      </c>
      <c r="X734">
        <v>0</v>
      </c>
    </row>
    <row r="735" spans="1:24">
      <c r="A735" t="s">
        <v>2244</v>
      </c>
      <c r="B735" t="s">
        <v>2245</v>
      </c>
      <c r="C735" t="s">
        <v>26</v>
      </c>
      <c r="D735">
        <v>10.46</v>
      </c>
      <c r="E735">
        <v>5176</v>
      </c>
      <c r="F735">
        <v>17</v>
      </c>
      <c r="G735" t="s">
        <v>36</v>
      </c>
      <c r="H735" t="s">
        <v>2246</v>
      </c>
      <c r="I735" t="s">
        <v>29</v>
      </c>
      <c r="J735" t="s">
        <v>38</v>
      </c>
      <c r="K735" t="s">
        <v>31</v>
      </c>
      <c r="L735" t="s">
        <v>30</v>
      </c>
      <c r="M735" t="s">
        <v>39</v>
      </c>
      <c r="N735">
        <v>13</v>
      </c>
      <c r="O735">
        <v>3</v>
      </c>
      <c r="P735">
        <v>0</v>
      </c>
      <c r="Q735">
        <v>494.8374760994264</v>
      </c>
      <c r="R735">
        <v>1.625239005736137</v>
      </c>
      <c r="S735">
        <v>304.4705882352941</v>
      </c>
      <c r="T735">
        <v>0</v>
      </c>
      <c r="U735">
        <v>0</v>
      </c>
      <c r="V735">
        <v>0</v>
      </c>
      <c r="W735">
        <v>8.551981016901902</v>
      </c>
      <c r="X735">
        <v>0</v>
      </c>
    </row>
    <row r="736" spans="1:24">
      <c r="A736" t="s">
        <v>2247</v>
      </c>
      <c r="B736" t="s">
        <v>2248</v>
      </c>
      <c r="C736" t="s">
        <v>52</v>
      </c>
      <c r="D736">
        <v>0.245</v>
      </c>
      <c r="E736">
        <v>8518</v>
      </c>
      <c r="F736">
        <v>15</v>
      </c>
      <c r="G736" t="s">
        <v>62</v>
      </c>
      <c r="H736" t="s">
        <v>2249</v>
      </c>
      <c r="I736" t="s">
        <v>29</v>
      </c>
      <c r="J736" t="s">
        <v>30</v>
      </c>
      <c r="K736" t="s">
        <v>31</v>
      </c>
      <c r="L736" t="s">
        <v>30</v>
      </c>
      <c r="M736" t="s">
        <v>97</v>
      </c>
      <c r="N736">
        <v>13</v>
      </c>
      <c r="O736">
        <v>3</v>
      </c>
      <c r="P736">
        <v>0</v>
      </c>
      <c r="Q736">
        <v>34767.34693877551</v>
      </c>
      <c r="R736">
        <v>61.22448979591837</v>
      </c>
      <c r="S736">
        <v>567.8666666666667</v>
      </c>
      <c r="T736">
        <v>0</v>
      </c>
      <c r="U736">
        <v>0</v>
      </c>
      <c r="V736">
        <v>0</v>
      </c>
      <c r="W736">
        <v>9.05005424204284</v>
      </c>
      <c r="X736">
        <v>0</v>
      </c>
    </row>
    <row r="737" spans="1:24">
      <c r="A737" t="s">
        <v>2250</v>
      </c>
      <c r="B737" t="s">
        <v>2251</v>
      </c>
      <c r="C737" t="s">
        <v>35</v>
      </c>
      <c r="D737">
        <v>1.755</v>
      </c>
      <c r="E737">
        <v>3160</v>
      </c>
      <c r="F737">
        <v>24</v>
      </c>
      <c r="G737" t="s">
        <v>36</v>
      </c>
      <c r="H737" t="s">
        <v>2252</v>
      </c>
      <c r="I737" t="s">
        <v>29</v>
      </c>
      <c r="J737" t="s">
        <v>38</v>
      </c>
      <c r="K737" t="s">
        <v>30</v>
      </c>
      <c r="L737" t="s">
        <v>31</v>
      </c>
      <c r="M737" t="s">
        <v>44</v>
      </c>
      <c r="N737">
        <v>13</v>
      </c>
      <c r="O737">
        <v>3</v>
      </c>
      <c r="P737">
        <v>0</v>
      </c>
      <c r="Q737">
        <v>1800.569800569801</v>
      </c>
      <c r="R737">
        <v>13.67521367521368</v>
      </c>
      <c r="S737">
        <v>131.6666666666667</v>
      </c>
      <c r="T737">
        <v>0</v>
      </c>
      <c r="U737">
        <v>0</v>
      </c>
      <c r="V737">
        <v>0</v>
      </c>
      <c r="W737">
        <v>8.058643712215618</v>
      </c>
      <c r="X737">
        <v>0</v>
      </c>
    </row>
    <row r="738" spans="1:24">
      <c r="A738" t="s">
        <v>2253</v>
      </c>
      <c r="B738" t="s">
        <v>2254</v>
      </c>
      <c r="C738" t="s">
        <v>35</v>
      </c>
      <c r="D738">
        <v>9.372</v>
      </c>
      <c r="E738">
        <v>4470</v>
      </c>
      <c r="F738">
        <v>21</v>
      </c>
      <c r="G738" t="s">
        <v>47</v>
      </c>
      <c r="H738" t="s">
        <v>2255</v>
      </c>
      <c r="I738" t="s">
        <v>29</v>
      </c>
      <c r="J738" t="s">
        <v>31</v>
      </c>
      <c r="K738" t="s">
        <v>30</v>
      </c>
      <c r="L738" t="s">
        <v>31</v>
      </c>
      <c r="M738" t="s">
        <v>32</v>
      </c>
      <c r="N738">
        <v>13</v>
      </c>
      <c r="O738">
        <v>3</v>
      </c>
      <c r="P738">
        <v>0</v>
      </c>
      <c r="Q738">
        <v>476.9526248399488</v>
      </c>
      <c r="R738">
        <v>2.240717029449424</v>
      </c>
      <c r="S738">
        <v>212.8571428571429</v>
      </c>
      <c r="T738">
        <v>0</v>
      </c>
      <c r="U738">
        <v>0</v>
      </c>
      <c r="V738">
        <v>0</v>
      </c>
      <c r="W738">
        <v>8.405367376233981</v>
      </c>
      <c r="X738">
        <v>0</v>
      </c>
    </row>
    <row r="739" spans="1:24">
      <c r="A739" t="s">
        <v>2256</v>
      </c>
      <c r="B739" t="s">
        <v>2257</v>
      </c>
      <c r="C739" t="s">
        <v>35</v>
      </c>
      <c r="D739">
        <v>1.147</v>
      </c>
      <c r="E739">
        <v>2765</v>
      </c>
      <c r="F739">
        <v>15</v>
      </c>
      <c r="G739" t="s">
        <v>62</v>
      </c>
      <c r="H739" t="s">
        <v>2258</v>
      </c>
      <c r="I739" t="s">
        <v>29</v>
      </c>
      <c r="J739" t="s">
        <v>30</v>
      </c>
      <c r="K739" t="s">
        <v>30</v>
      </c>
      <c r="L739" t="s">
        <v>30</v>
      </c>
      <c r="M739" t="s">
        <v>39</v>
      </c>
      <c r="N739">
        <v>13</v>
      </c>
      <c r="O739">
        <v>3</v>
      </c>
      <c r="P739">
        <v>0</v>
      </c>
      <c r="Q739">
        <v>2410.636442894508</v>
      </c>
      <c r="R739">
        <v>13.07759372275501</v>
      </c>
      <c r="S739">
        <v>184.3333333333333</v>
      </c>
      <c r="T739">
        <v>0</v>
      </c>
      <c r="U739">
        <v>0</v>
      </c>
      <c r="V739">
        <v>0</v>
      </c>
      <c r="W739">
        <v>7.925157512224703</v>
      </c>
      <c r="X739">
        <v>0</v>
      </c>
    </row>
    <row r="740" spans="1:24">
      <c r="A740" t="s">
        <v>2259</v>
      </c>
      <c r="B740" t="s">
        <v>2260</v>
      </c>
      <c r="C740" t="s">
        <v>35</v>
      </c>
      <c r="D740">
        <v>0.785</v>
      </c>
      <c r="E740">
        <v>30572</v>
      </c>
      <c r="F740">
        <v>69</v>
      </c>
      <c r="G740" t="s">
        <v>36</v>
      </c>
      <c r="H740" t="s">
        <v>2261</v>
      </c>
      <c r="I740" t="s">
        <v>49</v>
      </c>
      <c r="J740" t="s">
        <v>38</v>
      </c>
      <c r="K740" t="s">
        <v>31</v>
      </c>
      <c r="L740" t="s">
        <v>30</v>
      </c>
      <c r="M740" t="s">
        <v>97</v>
      </c>
      <c r="N740">
        <v>13</v>
      </c>
      <c r="O740">
        <v>3</v>
      </c>
      <c r="P740">
        <v>0</v>
      </c>
      <c r="Q740">
        <v>38945.2229299363</v>
      </c>
      <c r="R740">
        <v>87.89808917197452</v>
      </c>
      <c r="S740">
        <v>443.072463768116</v>
      </c>
      <c r="T740">
        <v>0</v>
      </c>
      <c r="U740">
        <v>0</v>
      </c>
      <c r="V740">
        <v>1</v>
      </c>
      <c r="W740">
        <v>10.3278725454968</v>
      </c>
      <c r="X740">
        <v>1</v>
      </c>
    </row>
    <row r="741" spans="1:24">
      <c r="A741" t="s">
        <v>2262</v>
      </c>
      <c r="B741" t="s">
        <v>2263</v>
      </c>
      <c r="C741" t="s">
        <v>35</v>
      </c>
      <c r="D741">
        <v>6.143</v>
      </c>
      <c r="E741">
        <v>4265</v>
      </c>
      <c r="F741">
        <v>22</v>
      </c>
      <c r="G741" t="s">
        <v>36</v>
      </c>
      <c r="H741" t="s">
        <v>2264</v>
      </c>
      <c r="I741" t="s">
        <v>29</v>
      </c>
      <c r="J741" t="s">
        <v>38</v>
      </c>
      <c r="K741" t="s">
        <v>30</v>
      </c>
      <c r="L741" t="s">
        <v>31</v>
      </c>
      <c r="M741" t="s">
        <v>97</v>
      </c>
      <c r="N741">
        <v>13</v>
      </c>
      <c r="O741">
        <v>3</v>
      </c>
      <c r="P741">
        <v>0</v>
      </c>
      <c r="Q741">
        <v>694.286179391177</v>
      </c>
      <c r="R741">
        <v>3.581312062510174</v>
      </c>
      <c r="S741">
        <v>193.8636363636364</v>
      </c>
      <c r="T741">
        <v>0</v>
      </c>
      <c r="U741">
        <v>0</v>
      </c>
      <c r="V741">
        <v>0</v>
      </c>
      <c r="W741">
        <v>8.358431899031295</v>
      </c>
      <c r="X741">
        <v>0</v>
      </c>
    </row>
    <row r="742" spans="1:24">
      <c r="A742" t="s">
        <v>2265</v>
      </c>
      <c r="B742" t="s">
        <v>2266</v>
      </c>
      <c r="C742" t="s">
        <v>26</v>
      </c>
      <c r="D742">
        <v>3.763</v>
      </c>
      <c r="E742">
        <v>1597</v>
      </c>
      <c r="F742">
        <v>20</v>
      </c>
      <c r="G742" t="s">
        <v>36</v>
      </c>
      <c r="H742" t="s">
        <v>2267</v>
      </c>
      <c r="I742" t="s">
        <v>29</v>
      </c>
      <c r="J742" t="s">
        <v>38</v>
      </c>
      <c r="K742" t="s">
        <v>30</v>
      </c>
      <c r="L742" t="s">
        <v>30</v>
      </c>
      <c r="M742" t="s">
        <v>32</v>
      </c>
      <c r="N742">
        <v>13</v>
      </c>
      <c r="O742">
        <v>3</v>
      </c>
      <c r="P742">
        <v>0</v>
      </c>
      <c r="Q742">
        <v>424.3954291788467</v>
      </c>
      <c r="R742">
        <v>5.314908317831518</v>
      </c>
      <c r="S742">
        <v>79.84999999999999</v>
      </c>
      <c r="T742">
        <v>0</v>
      </c>
      <c r="U742">
        <v>0</v>
      </c>
      <c r="V742">
        <v>0</v>
      </c>
      <c r="W742">
        <v>7.37650812632622</v>
      </c>
      <c r="X742">
        <v>0</v>
      </c>
    </row>
    <row r="743" spans="1:24">
      <c r="A743" t="s">
        <v>2268</v>
      </c>
      <c r="B743" t="s">
        <v>2269</v>
      </c>
      <c r="C743" t="s">
        <v>35</v>
      </c>
      <c r="D743">
        <v>5.919</v>
      </c>
      <c r="E743">
        <v>3351</v>
      </c>
      <c r="F743">
        <v>13</v>
      </c>
      <c r="G743" t="s">
        <v>27</v>
      </c>
      <c r="H743" t="s">
        <v>2270</v>
      </c>
      <c r="I743" t="s">
        <v>29</v>
      </c>
      <c r="J743" t="s">
        <v>30</v>
      </c>
      <c r="K743" t="s">
        <v>31</v>
      </c>
      <c r="L743" t="s">
        <v>31</v>
      </c>
      <c r="M743" t="s">
        <v>76</v>
      </c>
      <c r="N743">
        <v>13</v>
      </c>
      <c r="O743">
        <v>3</v>
      </c>
      <c r="P743">
        <v>0</v>
      </c>
      <c r="Q743">
        <v>566.1429295489103</v>
      </c>
      <c r="R743">
        <v>2.196316945429972</v>
      </c>
      <c r="S743">
        <v>257.7692307692308</v>
      </c>
      <c r="T743">
        <v>0</v>
      </c>
      <c r="U743">
        <v>0</v>
      </c>
      <c r="V743">
        <v>0</v>
      </c>
      <c r="W743">
        <v>8.117312461601975</v>
      </c>
      <c r="X743">
        <v>0</v>
      </c>
    </row>
    <row r="744" spans="1:24">
      <c r="A744" t="s">
        <v>2271</v>
      </c>
      <c r="B744" t="s">
        <v>2272</v>
      </c>
      <c r="C744" t="s">
        <v>26</v>
      </c>
      <c r="D744">
        <v>1.402</v>
      </c>
      <c r="E744">
        <v>7157</v>
      </c>
      <c r="F744">
        <v>24</v>
      </c>
      <c r="G744" t="s">
        <v>36</v>
      </c>
      <c r="H744" t="s">
        <v>2273</v>
      </c>
      <c r="I744" t="s">
        <v>29</v>
      </c>
      <c r="J744" t="s">
        <v>38</v>
      </c>
      <c r="K744" t="s">
        <v>38</v>
      </c>
      <c r="L744" t="s">
        <v>31</v>
      </c>
      <c r="M744" t="s">
        <v>39</v>
      </c>
      <c r="N744">
        <v>13</v>
      </c>
      <c r="O744">
        <v>3</v>
      </c>
      <c r="P744">
        <v>0</v>
      </c>
      <c r="Q744">
        <v>5104.850213980028</v>
      </c>
      <c r="R744">
        <v>17.11840228245364</v>
      </c>
      <c r="S744">
        <v>298.2083333333333</v>
      </c>
      <c r="T744">
        <v>0</v>
      </c>
      <c r="U744">
        <v>0</v>
      </c>
      <c r="V744">
        <v>0</v>
      </c>
      <c r="W744">
        <v>8.875985891325971</v>
      </c>
      <c r="X744">
        <v>0</v>
      </c>
    </row>
    <row r="745" spans="1:24">
      <c r="A745" t="s">
        <v>2274</v>
      </c>
      <c r="B745" t="s">
        <v>2275</v>
      </c>
      <c r="C745" t="s">
        <v>26</v>
      </c>
      <c r="D745">
        <v>2.769</v>
      </c>
      <c r="E745">
        <v>1487</v>
      </c>
      <c r="F745">
        <v>18</v>
      </c>
      <c r="G745" t="s">
        <v>27</v>
      </c>
      <c r="H745" t="s">
        <v>2276</v>
      </c>
      <c r="I745" t="s">
        <v>29</v>
      </c>
      <c r="J745" t="s">
        <v>30</v>
      </c>
      <c r="K745" t="s">
        <v>38</v>
      </c>
      <c r="L745" t="s">
        <v>31</v>
      </c>
      <c r="M745" t="s">
        <v>44</v>
      </c>
      <c r="N745">
        <v>13</v>
      </c>
      <c r="O745">
        <v>3</v>
      </c>
      <c r="P745">
        <v>0</v>
      </c>
      <c r="Q745">
        <v>537.0169736366919</v>
      </c>
      <c r="R745">
        <v>6.500541711809317</v>
      </c>
      <c r="S745">
        <v>82.61111111111111</v>
      </c>
      <c r="T745">
        <v>0</v>
      </c>
      <c r="U745">
        <v>0</v>
      </c>
      <c r="V745">
        <v>0</v>
      </c>
      <c r="W745">
        <v>7.305188215393037</v>
      </c>
      <c r="X745">
        <v>0</v>
      </c>
    </row>
    <row r="746" spans="1:24">
      <c r="A746" t="s">
        <v>2277</v>
      </c>
      <c r="B746" t="s">
        <v>2278</v>
      </c>
      <c r="C746" t="s">
        <v>35</v>
      </c>
      <c r="D746">
        <v>5.868</v>
      </c>
      <c r="E746">
        <v>3421</v>
      </c>
      <c r="F746">
        <v>17</v>
      </c>
      <c r="G746" t="s">
        <v>62</v>
      </c>
      <c r="H746" t="s">
        <v>2279</v>
      </c>
      <c r="I746" t="s">
        <v>29</v>
      </c>
      <c r="J746" t="s">
        <v>30</v>
      </c>
      <c r="K746" t="s">
        <v>30</v>
      </c>
      <c r="L746" t="s">
        <v>30</v>
      </c>
      <c r="M746" t="s">
        <v>97</v>
      </c>
      <c r="N746">
        <v>14</v>
      </c>
      <c r="O746">
        <v>3</v>
      </c>
      <c r="P746">
        <v>0</v>
      </c>
      <c r="Q746">
        <v>582.9925017041581</v>
      </c>
      <c r="R746">
        <v>2.897068847989093</v>
      </c>
      <c r="S746">
        <v>201.2352941176471</v>
      </c>
      <c r="T746">
        <v>0</v>
      </c>
      <c r="U746">
        <v>0</v>
      </c>
      <c r="V746">
        <v>0</v>
      </c>
      <c r="W746">
        <v>8.137980454452139</v>
      </c>
      <c r="X746">
        <v>0</v>
      </c>
    </row>
    <row r="747" spans="1:24">
      <c r="A747" t="s">
        <v>2280</v>
      </c>
      <c r="B747" t="s">
        <v>2281</v>
      </c>
      <c r="C747" t="s">
        <v>35</v>
      </c>
      <c r="D747">
        <v>2.549</v>
      </c>
      <c r="E747">
        <v>3084</v>
      </c>
      <c r="F747">
        <v>17</v>
      </c>
      <c r="G747" t="s">
        <v>27</v>
      </c>
      <c r="H747" t="s">
        <v>2282</v>
      </c>
      <c r="I747" t="s">
        <v>29</v>
      </c>
      <c r="J747" t="s">
        <v>30</v>
      </c>
      <c r="K747" t="s">
        <v>30</v>
      </c>
      <c r="L747" t="s">
        <v>30</v>
      </c>
      <c r="M747" t="s">
        <v>44</v>
      </c>
      <c r="N747">
        <v>14</v>
      </c>
      <c r="O747">
        <v>3</v>
      </c>
      <c r="P747">
        <v>0</v>
      </c>
      <c r="Q747">
        <v>1209.886229894076</v>
      </c>
      <c r="R747">
        <v>6.669282071400549</v>
      </c>
      <c r="S747">
        <v>181.4117647058823</v>
      </c>
      <c r="T747">
        <v>0</v>
      </c>
      <c r="U747">
        <v>0</v>
      </c>
      <c r="V747">
        <v>0</v>
      </c>
      <c r="W747">
        <v>8.034306936339489</v>
      </c>
      <c r="X747">
        <v>0</v>
      </c>
    </row>
    <row r="748" spans="1:24">
      <c r="A748" t="s">
        <v>2283</v>
      </c>
      <c r="B748" t="s">
        <v>2284</v>
      </c>
      <c r="C748" t="s">
        <v>26</v>
      </c>
      <c r="D748">
        <v>3.77</v>
      </c>
      <c r="E748">
        <v>3220</v>
      </c>
      <c r="F748">
        <v>20</v>
      </c>
      <c r="G748" t="s">
        <v>47</v>
      </c>
      <c r="H748" t="s">
        <v>2285</v>
      </c>
      <c r="I748" t="s">
        <v>29</v>
      </c>
      <c r="J748" t="s">
        <v>31</v>
      </c>
      <c r="K748" t="s">
        <v>30</v>
      </c>
      <c r="L748" t="s">
        <v>30</v>
      </c>
      <c r="M748" t="s">
        <v>44</v>
      </c>
      <c r="N748">
        <v>14</v>
      </c>
      <c r="O748">
        <v>3</v>
      </c>
      <c r="P748">
        <v>0</v>
      </c>
      <c r="Q748">
        <v>854.1114058355438</v>
      </c>
      <c r="R748">
        <v>5.305039787798409</v>
      </c>
      <c r="S748">
        <v>161</v>
      </c>
      <c r="T748">
        <v>0</v>
      </c>
      <c r="U748">
        <v>0</v>
      </c>
      <c r="V748">
        <v>0</v>
      </c>
      <c r="W748">
        <v>8.077447149331199</v>
      </c>
      <c r="X748">
        <v>0</v>
      </c>
    </row>
    <row r="749" spans="1:24">
      <c r="A749" t="s">
        <v>2286</v>
      </c>
      <c r="B749" t="s">
        <v>2287</v>
      </c>
      <c r="C749" t="s">
        <v>26</v>
      </c>
      <c r="D749">
        <v>11.158</v>
      </c>
      <c r="E749">
        <v>6275</v>
      </c>
      <c r="F749">
        <v>17</v>
      </c>
      <c r="G749" t="s">
        <v>62</v>
      </c>
      <c r="H749" t="s">
        <v>2288</v>
      </c>
      <c r="I749" t="s">
        <v>29</v>
      </c>
      <c r="J749" t="s">
        <v>30</v>
      </c>
      <c r="K749" t="s">
        <v>30</v>
      </c>
      <c r="L749" t="s">
        <v>31</v>
      </c>
      <c r="M749" t="s">
        <v>97</v>
      </c>
      <c r="N749">
        <v>14</v>
      </c>
      <c r="O749">
        <v>3</v>
      </c>
      <c r="P749">
        <v>0</v>
      </c>
      <c r="Q749">
        <v>562.3767700304714</v>
      </c>
      <c r="R749">
        <v>1.523570532353469</v>
      </c>
      <c r="S749">
        <v>369.1176470588235</v>
      </c>
      <c r="T749">
        <v>0</v>
      </c>
      <c r="U749">
        <v>0</v>
      </c>
      <c r="V749">
        <v>0</v>
      </c>
      <c r="W749">
        <v>8.744488113852924</v>
      </c>
      <c r="X749">
        <v>0</v>
      </c>
    </row>
    <row r="750" spans="1:24">
      <c r="A750" t="s">
        <v>2289</v>
      </c>
      <c r="B750" t="s">
        <v>2290</v>
      </c>
      <c r="C750" t="s">
        <v>130</v>
      </c>
      <c r="D750">
        <v>0.08500000000000001</v>
      </c>
      <c r="E750">
        <v>3401</v>
      </c>
      <c r="F750">
        <v>1</v>
      </c>
      <c r="G750" t="s">
        <v>47</v>
      </c>
      <c r="H750" t="s">
        <v>2291</v>
      </c>
      <c r="I750" t="s">
        <v>90</v>
      </c>
      <c r="J750" t="s">
        <v>31</v>
      </c>
      <c r="K750" t="s">
        <v>38</v>
      </c>
      <c r="L750" t="s">
        <v>30</v>
      </c>
      <c r="M750" t="s">
        <v>97</v>
      </c>
      <c r="N750">
        <v>14</v>
      </c>
      <c r="O750">
        <v>3</v>
      </c>
      <c r="P750">
        <v>0</v>
      </c>
      <c r="Q750">
        <v>40011.76470588235</v>
      </c>
      <c r="R750">
        <v>11.76470588235294</v>
      </c>
      <c r="S750">
        <v>3401</v>
      </c>
      <c r="T750">
        <v>0</v>
      </c>
      <c r="U750">
        <v>0</v>
      </c>
      <c r="V750">
        <v>0</v>
      </c>
      <c r="W750">
        <v>8.132118772955806</v>
      </c>
      <c r="X750">
        <v>1</v>
      </c>
    </row>
    <row r="751" spans="1:24">
      <c r="A751" t="s">
        <v>2292</v>
      </c>
      <c r="B751" t="s">
        <v>2293</v>
      </c>
      <c r="C751" t="s">
        <v>26</v>
      </c>
      <c r="D751">
        <v>0.876</v>
      </c>
      <c r="E751">
        <v>1520</v>
      </c>
      <c r="F751">
        <v>15</v>
      </c>
      <c r="G751" t="s">
        <v>47</v>
      </c>
      <c r="H751" t="s">
        <v>2294</v>
      </c>
      <c r="I751" t="s">
        <v>29</v>
      </c>
      <c r="J751" t="s">
        <v>31</v>
      </c>
      <c r="K751" t="s">
        <v>31</v>
      </c>
      <c r="L751" t="s">
        <v>30</v>
      </c>
      <c r="M751" t="s">
        <v>76</v>
      </c>
      <c r="N751">
        <v>14</v>
      </c>
      <c r="O751">
        <v>3</v>
      </c>
      <c r="P751">
        <v>0</v>
      </c>
      <c r="Q751">
        <v>1735.159817351598</v>
      </c>
      <c r="R751">
        <v>17.12328767123288</v>
      </c>
      <c r="S751">
        <v>101.3333333333333</v>
      </c>
      <c r="T751">
        <v>0</v>
      </c>
      <c r="U751">
        <v>0</v>
      </c>
      <c r="V751">
        <v>0</v>
      </c>
      <c r="W751">
        <v>7.327123292259293</v>
      </c>
      <c r="X751">
        <v>0</v>
      </c>
    </row>
    <row r="752" spans="1:24">
      <c r="A752" t="s">
        <v>2295</v>
      </c>
      <c r="B752" t="s">
        <v>2296</v>
      </c>
      <c r="C752" t="s">
        <v>35</v>
      </c>
      <c r="D752">
        <v>4.797</v>
      </c>
      <c r="E752">
        <v>785</v>
      </c>
      <c r="F752">
        <v>20</v>
      </c>
      <c r="G752" t="s">
        <v>27</v>
      </c>
      <c r="H752" t="s">
        <v>2297</v>
      </c>
      <c r="I752" t="s">
        <v>29</v>
      </c>
      <c r="J752" t="s">
        <v>30</v>
      </c>
      <c r="K752" t="s">
        <v>30</v>
      </c>
      <c r="L752" t="s">
        <v>30</v>
      </c>
      <c r="M752" t="s">
        <v>97</v>
      </c>
      <c r="N752">
        <v>14</v>
      </c>
      <c r="O752">
        <v>3</v>
      </c>
      <c r="P752">
        <v>0</v>
      </c>
      <c r="Q752">
        <v>163.643944131749</v>
      </c>
      <c r="R752">
        <v>4.169272461955389</v>
      </c>
      <c r="S752">
        <v>39.25</v>
      </c>
      <c r="T752">
        <v>0</v>
      </c>
      <c r="U752">
        <v>0</v>
      </c>
      <c r="V752">
        <v>0</v>
      </c>
      <c r="W752">
        <v>6.666956792429207</v>
      </c>
      <c r="X752">
        <v>0</v>
      </c>
    </row>
    <row r="753" spans="1:24">
      <c r="A753" t="s">
        <v>2298</v>
      </c>
      <c r="B753" t="s">
        <v>2299</v>
      </c>
      <c r="C753" t="s">
        <v>26</v>
      </c>
      <c r="D753">
        <v>2.896</v>
      </c>
      <c r="E753">
        <v>818</v>
      </c>
      <c r="F753">
        <v>10</v>
      </c>
      <c r="G753" t="s">
        <v>27</v>
      </c>
      <c r="H753" t="s">
        <v>2300</v>
      </c>
      <c r="I753" t="s">
        <v>29</v>
      </c>
      <c r="J753" t="s">
        <v>30</v>
      </c>
      <c r="K753" t="s">
        <v>30</v>
      </c>
      <c r="L753" t="s">
        <v>31</v>
      </c>
      <c r="M753" t="s">
        <v>97</v>
      </c>
      <c r="N753">
        <v>14</v>
      </c>
      <c r="O753">
        <v>3</v>
      </c>
      <c r="P753">
        <v>0</v>
      </c>
      <c r="Q753">
        <v>282.4585635359116</v>
      </c>
      <c r="R753">
        <v>3.453038674033149</v>
      </c>
      <c r="S753">
        <v>81.8</v>
      </c>
      <c r="T753">
        <v>0</v>
      </c>
      <c r="U753">
        <v>0</v>
      </c>
      <c r="V753">
        <v>0</v>
      </c>
      <c r="W753">
        <v>6.70808408385307</v>
      </c>
      <c r="X753">
        <v>0</v>
      </c>
    </row>
    <row r="754" spans="1:24">
      <c r="A754" t="s">
        <v>2301</v>
      </c>
      <c r="B754" t="s">
        <v>2302</v>
      </c>
      <c r="C754" t="s">
        <v>26</v>
      </c>
      <c r="D754">
        <v>5.197</v>
      </c>
      <c r="E754">
        <v>10303</v>
      </c>
      <c r="F754">
        <v>26</v>
      </c>
      <c r="G754" t="s">
        <v>36</v>
      </c>
      <c r="H754" t="s">
        <v>2303</v>
      </c>
      <c r="I754" t="s">
        <v>29</v>
      </c>
      <c r="J754" t="s">
        <v>38</v>
      </c>
      <c r="K754" t="s">
        <v>30</v>
      </c>
      <c r="L754" t="s">
        <v>31</v>
      </c>
      <c r="M754" t="s">
        <v>83</v>
      </c>
      <c r="N754">
        <v>14</v>
      </c>
      <c r="O754">
        <v>3</v>
      </c>
      <c r="P754">
        <v>0</v>
      </c>
      <c r="Q754">
        <v>1982.489898018088</v>
      </c>
      <c r="R754">
        <v>5.002886280546469</v>
      </c>
      <c r="S754">
        <v>396.2692307692308</v>
      </c>
      <c r="T754">
        <v>0</v>
      </c>
      <c r="U754">
        <v>0</v>
      </c>
      <c r="V754">
        <v>1</v>
      </c>
      <c r="W754">
        <v>9.240287448344136</v>
      </c>
      <c r="X754">
        <v>0</v>
      </c>
    </row>
    <row r="755" spans="1:24">
      <c r="A755" t="s">
        <v>2304</v>
      </c>
      <c r="B755" t="s">
        <v>2305</v>
      </c>
      <c r="C755" t="s">
        <v>26</v>
      </c>
      <c r="D755">
        <v>0.022</v>
      </c>
      <c r="E755">
        <v>1219</v>
      </c>
      <c r="F755">
        <v>2</v>
      </c>
      <c r="G755" t="s">
        <v>47</v>
      </c>
      <c r="H755" t="s">
        <v>2306</v>
      </c>
      <c r="I755" t="s">
        <v>90</v>
      </c>
      <c r="J755" t="s">
        <v>31</v>
      </c>
      <c r="K755" t="s">
        <v>31</v>
      </c>
      <c r="L755" t="s">
        <v>31</v>
      </c>
      <c r="M755" t="s">
        <v>97</v>
      </c>
      <c r="N755">
        <v>14</v>
      </c>
      <c r="O755">
        <v>3</v>
      </c>
      <c r="P755">
        <v>0</v>
      </c>
      <c r="Q755">
        <v>55409.09090909091</v>
      </c>
      <c r="R755">
        <v>90.90909090909092</v>
      </c>
      <c r="S755">
        <v>609.5</v>
      </c>
      <c r="T755">
        <v>0</v>
      </c>
      <c r="U755">
        <v>0</v>
      </c>
      <c r="V755">
        <v>0</v>
      </c>
      <c r="W755">
        <v>7.106606137727303</v>
      </c>
      <c r="X755">
        <v>1</v>
      </c>
    </row>
    <row r="756" spans="1:24">
      <c r="A756" t="s">
        <v>2307</v>
      </c>
      <c r="B756" t="s">
        <v>2308</v>
      </c>
      <c r="C756" t="s">
        <v>26</v>
      </c>
      <c r="D756">
        <v>3.734</v>
      </c>
      <c r="E756">
        <v>8134</v>
      </c>
      <c r="F756">
        <v>21</v>
      </c>
      <c r="G756" t="s">
        <v>36</v>
      </c>
      <c r="H756" t="s">
        <v>2309</v>
      </c>
      <c r="I756" t="s">
        <v>29</v>
      </c>
      <c r="J756" t="s">
        <v>38</v>
      </c>
      <c r="K756" t="s">
        <v>38</v>
      </c>
      <c r="L756" t="s">
        <v>30</v>
      </c>
      <c r="M756" t="s">
        <v>76</v>
      </c>
      <c r="N756">
        <v>14</v>
      </c>
      <c r="O756">
        <v>3</v>
      </c>
      <c r="P756">
        <v>0</v>
      </c>
      <c r="Q756">
        <v>2178.361006963042</v>
      </c>
      <c r="R756">
        <v>5.623995715050884</v>
      </c>
      <c r="S756">
        <v>387.3333333333333</v>
      </c>
      <c r="T756">
        <v>0</v>
      </c>
      <c r="U756">
        <v>0</v>
      </c>
      <c r="V756">
        <v>0</v>
      </c>
      <c r="W756">
        <v>9.003931019653137</v>
      </c>
      <c r="X756">
        <v>0</v>
      </c>
    </row>
    <row r="757" spans="1:24">
      <c r="A757" t="s">
        <v>2310</v>
      </c>
      <c r="B757" t="s">
        <v>2311</v>
      </c>
      <c r="C757" t="s">
        <v>52</v>
      </c>
      <c r="D757">
        <v>3.102</v>
      </c>
      <c r="E757">
        <v>3142</v>
      </c>
      <c r="F757">
        <v>15</v>
      </c>
      <c r="G757" t="s">
        <v>47</v>
      </c>
      <c r="H757" t="s">
        <v>2312</v>
      </c>
      <c r="I757" t="s">
        <v>29</v>
      </c>
      <c r="J757" t="s">
        <v>31</v>
      </c>
      <c r="K757" t="s">
        <v>30</v>
      </c>
      <c r="L757" t="s">
        <v>31</v>
      </c>
      <c r="M757" t="s">
        <v>83</v>
      </c>
      <c r="N757">
        <v>14</v>
      </c>
      <c r="O757">
        <v>3</v>
      </c>
      <c r="P757">
        <v>0</v>
      </c>
      <c r="Q757">
        <v>1012.894906511928</v>
      </c>
      <c r="R757">
        <v>4.835589941972921</v>
      </c>
      <c r="S757">
        <v>209.4666666666667</v>
      </c>
      <c r="T757">
        <v>0</v>
      </c>
      <c r="U757">
        <v>0</v>
      </c>
      <c r="V757">
        <v>0</v>
      </c>
      <c r="W757">
        <v>8.052933036797567</v>
      </c>
      <c r="X757">
        <v>0</v>
      </c>
    </row>
    <row r="758" spans="1:24">
      <c r="A758" t="s">
        <v>2313</v>
      </c>
      <c r="B758" t="s">
        <v>2314</v>
      </c>
      <c r="C758" t="s">
        <v>35</v>
      </c>
      <c r="D758">
        <v>12.843</v>
      </c>
      <c r="E758">
        <v>3574</v>
      </c>
      <c r="F758">
        <v>20</v>
      </c>
      <c r="G758" t="s">
        <v>62</v>
      </c>
      <c r="H758" t="s">
        <v>2315</v>
      </c>
      <c r="I758" t="s">
        <v>29</v>
      </c>
      <c r="J758" t="s">
        <v>30</v>
      </c>
      <c r="K758" t="s">
        <v>31</v>
      </c>
      <c r="L758" t="s">
        <v>31</v>
      </c>
      <c r="M758" t="s">
        <v>32</v>
      </c>
      <c r="N758">
        <v>15</v>
      </c>
      <c r="O758">
        <v>3</v>
      </c>
      <c r="P758">
        <v>0</v>
      </c>
      <c r="Q758">
        <v>278.2838900568403</v>
      </c>
      <c r="R758">
        <v>1.557268550961613</v>
      </c>
      <c r="S758">
        <v>178.7</v>
      </c>
      <c r="T758">
        <v>0</v>
      </c>
      <c r="U758">
        <v>0</v>
      </c>
      <c r="V758">
        <v>0</v>
      </c>
      <c r="W758">
        <v>8.181720455128108</v>
      </c>
      <c r="X758">
        <v>0</v>
      </c>
    </row>
    <row r="759" spans="1:24">
      <c r="A759" t="s">
        <v>2316</v>
      </c>
      <c r="B759" t="s">
        <v>2317</v>
      </c>
      <c r="C759" t="s">
        <v>35</v>
      </c>
      <c r="D759">
        <v>4.883</v>
      </c>
      <c r="E759">
        <v>6941</v>
      </c>
      <c r="F759">
        <v>30</v>
      </c>
      <c r="G759" t="s">
        <v>27</v>
      </c>
      <c r="H759" t="s">
        <v>2318</v>
      </c>
      <c r="I759" t="s">
        <v>29</v>
      </c>
      <c r="J759" t="s">
        <v>30</v>
      </c>
      <c r="K759" t="s">
        <v>30</v>
      </c>
      <c r="L759" t="s">
        <v>31</v>
      </c>
      <c r="M759" t="s">
        <v>32</v>
      </c>
      <c r="N759">
        <v>15</v>
      </c>
      <c r="O759">
        <v>3</v>
      </c>
      <c r="P759">
        <v>0</v>
      </c>
      <c r="Q759">
        <v>1421.462215850911</v>
      </c>
      <c r="R759">
        <v>6.143764079459348</v>
      </c>
      <c r="S759">
        <v>231.3666666666667</v>
      </c>
      <c r="T759">
        <v>0</v>
      </c>
      <c r="U759">
        <v>0</v>
      </c>
      <c r="V759">
        <v>0</v>
      </c>
      <c r="W759">
        <v>8.845345196421732</v>
      </c>
      <c r="X759">
        <v>0</v>
      </c>
    </row>
    <row r="760" spans="1:24">
      <c r="A760" t="s">
        <v>2319</v>
      </c>
      <c r="B760" t="s">
        <v>2320</v>
      </c>
      <c r="C760" t="s">
        <v>26</v>
      </c>
      <c r="D760">
        <v>2.692</v>
      </c>
      <c r="E760">
        <v>716</v>
      </c>
      <c r="F760">
        <v>14</v>
      </c>
      <c r="G760" t="s">
        <v>62</v>
      </c>
      <c r="H760" t="s">
        <v>2321</v>
      </c>
      <c r="I760" t="s">
        <v>43</v>
      </c>
      <c r="J760" t="s">
        <v>30</v>
      </c>
      <c r="K760" t="s">
        <v>30</v>
      </c>
      <c r="L760" t="s">
        <v>30</v>
      </c>
      <c r="M760" t="s">
        <v>44</v>
      </c>
      <c r="N760">
        <v>15</v>
      </c>
      <c r="O760">
        <v>3</v>
      </c>
      <c r="P760">
        <v>0</v>
      </c>
      <c r="Q760">
        <v>265.9732540861813</v>
      </c>
      <c r="R760">
        <v>5.200594353640415</v>
      </c>
      <c r="S760">
        <v>51.14285714285715</v>
      </c>
      <c r="T760">
        <v>0</v>
      </c>
      <c r="U760">
        <v>0</v>
      </c>
      <c r="V760">
        <v>0</v>
      </c>
      <c r="W760">
        <v>6.57507584059962</v>
      </c>
      <c r="X760">
        <v>1</v>
      </c>
    </row>
    <row r="761" spans="1:24">
      <c r="A761" t="s">
        <v>2322</v>
      </c>
      <c r="B761" t="s">
        <v>2323</v>
      </c>
      <c r="C761" t="s">
        <v>35</v>
      </c>
      <c r="D761">
        <v>0.19</v>
      </c>
      <c r="E761">
        <v>3329</v>
      </c>
      <c r="F761">
        <v>4</v>
      </c>
      <c r="G761" t="s">
        <v>47</v>
      </c>
      <c r="H761" t="s">
        <v>2324</v>
      </c>
      <c r="I761" t="s">
        <v>90</v>
      </c>
      <c r="J761" t="s">
        <v>31</v>
      </c>
      <c r="K761" t="s">
        <v>30</v>
      </c>
      <c r="L761" t="s">
        <v>30</v>
      </c>
      <c r="M761" t="s">
        <v>44</v>
      </c>
      <c r="N761">
        <v>15</v>
      </c>
      <c r="O761">
        <v>3</v>
      </c>
      <c r="P761">
        <v>0</v>
      </c>
      <c r="Q761">
        <v>17521.05263157895</v>
      </c>
      <c r="R761">
        <v>21.05263157894737</v>
      </c>
      <c r="S761">
        <v>832.25</v>
      </c>
      <c r="T761">
        <v>0</v>
      </c>
      <c r="U761">
        <v>0</v>
      </c>
      <c r="V761">
        <v>0</v>
      </c>
      <c r="W761">
        <v>8.110727582974489</v>
      </c>
      <c r="X761">
        <v>1</v>
      </c>
    </row>
    <row r="762" spans="1:24">
      <c r="A762" t="s">
        <v>2325</v>
      </c>
      <c r="B762" t="s">
        <v>2326</v>
      </c>
      <c r="C762" t="s">
        <v>35</v>
      </c>
      <c r="D762">
        <v>6.522</v>
      </c>
      <c r="E762">
        <v>2330</v>
      </c>
      <c r="F762">
        <v>19</v>
      </c>
      <c r="G762" t="s">
        <v>47</v>
      </c>
      <c r="H762" t="s">
        <v>2327</v>
      </c>
      <c r="I762" t="s">
        <v>29</v>
      </c>
      <c r="J762" t="s">
        <v>31</v>
      </c>
      <c r="K762" t="s">
        <v>30</v>
      </c>
      <c r="L762" t="s">
        <v>30</v>
      </c>
      <c r="M762" t="s">
        <v>44</v>
      </c>
      <c r="N762">
        <v>15</v>
      </c>
      <c r="O762">
        <v>3</v>
      </c>
      <c r="P762">
        <v>0</v>
      </c>
      <c r="Q762">
        <v>357.2523765716038</v>
      </c>
      <c r="R762">
        <v>2.913216804661147</v>
      </c>
      <c r="S762">
        <v>122.6315789473684</v>
      </c>
      <c r="T762">
        <v>0</v>
      </c>
      <c r="U762">
        <v>0</v>
      </c>
      <c r="V762">
        <v>0</v>
      </c>
      <c r="W762">
        <v>7.754052639035757</v>
      </c>
      <c r="X762">
        <v>0</v>
      </c>
    </row>
    <row r="763" spans="1:24">
      <c r="A763" t="s">
        <v>2328</v>
      </c>
      <c r="B763" t="s">
        <v>2329</v>
      </c>
      <c r="C763" t="s">
        <v>35</v>
      </c>
      <c r="D763">
        <v>5.235</v>
      </c>
      <c r="E763">
        <v>718</v>
      </c>
      <c r="F763">
        <v>14</v>
      </c>
      <c r="G763" t="s">
        <v>62</v>
      </c>
      <c r="H763" t="s">
        <v>2330</v>
      </c>
      <c r="I763" t="s">
        <v>29</v>
      </c>
      <c r="J763" t="s">
        <v>30</v>
      </c>
      <c r="K763" t="s">
        <v>30</v>
      </c>
      <c r="L763" t="s">
        <v>31</v>
      </c>
      <c r="M763" t="s">
        <v>76</v>
      </c>
      <c r="N763">
        <v>15</v>
      </c>
      <c r="O763">
        <v>3</v>
      </c>
      <c r="P763">
        <v>0</v>
      </c>
      <c r="Q763">
        <v>137.1537726838586</v>
      </c>
      <c r="R763">
        <v>2.674307545367717</v>
      </c>
      <c r="S763">
        <v>51.28571428571428</v>
      </c>
      <c r="T763">
        <v>0</v>
      </c>
      <c r="U763">
        <v>0</v>
      </c>
      <c r="V763">
        <v>0</v>
      </c>
      <c r="W763">
        <v>6.577861357721047</v>
      </c>
      <c r="X763">
        <v>0</v>
      </c>
    </row>
    <row r="764" spans="1:24">
      <c r="A764" t="s">
        <v>2331</v>
      </c>
      <c r="B764" t="s">
        <v>2332</v>
      </c>
      <c r="C764" t="s">
        <v>26</v>
      </c>
      <c r="D764">
        <v>5.065</v>
      </c>
      <c r="E764">
        <v>1546</v>
      </c>
      <c r="F764">
        <v>16</v>
      </c>
      <c r="G764" t="s">
        <v>36</v>
      </c>
      <c r="H764" t="s">
        <v>2333</v>
      </c>
      <c r="I764" t="s">
        <v>29</v>
      </c>
      <c r="J764" t="s">
        <v>38</v>
      </c>
      <c r="K764" t="s">
        <v>30</v>
      </c>
      <c r="L764" t="s">
        <v>30</v>
      </c>
      <c r="M764" t="s">
        <v>44</v>
      </c>
      <c r="N764">
        <v>15</v>
      </c>
      <c r="O764">
        <v>3</v>
      </c>
      <c r="P764">
        <v>0</v>
      </c>
      <c r="Q764">
        <v>305.2319842053307</v>
      </c>
      <c r="R764">
        <v>3.15893385982231</v>
      </c>
      <c r="S764">
        <v>96.625</v>
      </c>
      <c r="T764">
        <v>0</v>
      </c>
      <c r="U764">
        <v>0</v>
      </c>
      <c r="V764">
        <v>0</v>
      </c>
      <c r="W764">
        <v>7.344072850573066</v>
      </c>
      <c r="X764">
        <v>0</v>
      </c>
    </row>
    <row r="765" spans="1:24">
      <c r="A765" t="s">
        <v>2334</v>
      </c>
      <c r="B765" t="s">
        <v>2335</v>
      </c>
      <c r="C765" t="s">
        <v>35</v>
      </c>
      <c r="D765">
        <v>2.92</v>
      </c>
      <c r="E765">
        <v>1364</v>
      </c>
      <c r="F765">
        <v>21</v>
      </c>
      <c r="G765" t="s">
        <v>47</v>
      </c>
      <c r="H765" t="s">
        <v>2336</v>
      </c>
      <c r="I765" t="s">
        <v>29</v>
      </c>
      <c r="J765" t="s">
        <v>31</v>
      </c>
      <c r="K765" t="s">
        <v>30</v>
      </c>
      <c r="L765" t="s">
        <v>30</v>
      </c>
      <c r="M765" t="s">
        <v>97</v>
      </c>
      <c r="N765">
        <v>15</v>
      </c>
      <c r="O765">
        <v>3</v>
      </c>
      <c r="P765">
        <v>0</v>
      </c>
      <c r="Q765">
        <v>467.1232876712329</v>
      </c>
      <c r="R765">
        <v>7.191780821917808</v>
      </c>
      <c r="S765">
        <v>64.95238095238095</v>
      </c>
      <c r="T765">
        <v>0</v>
      </c>
      <c r="U765">
        <v>0</v>
      </c>
      <c r="V765">
        <v>0</v>
      </c>
      <c r="W765">
        <v>7.21890970761906</v>
      </c>
      <c r="X765">
        <v>0</v>
      </c>
    </row>
    <row r="766" spans="1:24">
      <c r="A766" t="s">
        <v>2337</v>
      </c>
      <c r="B766" t="s">
        <v>2338</v>
      </c>
      <c r="C766" t="s">
        <v>35</v>
      </c>
      <c r="D766">
        <v>1.031</v>
      </c>
      <c r="E766">
        <v>3895</v>
      </c>
      <c r="F766">
        <v>23</v>
      </c>
      <c r="G766" t="s">
        <v>62</v>
      </c>
      <c r="H766" t="s">
        <v>2339</v>
      </c>
      <c r="I766" t="s">
        <v>29</v>
      </c>
      <c r="J766" t="s">
        <v>30</v>
      </c>
      <c r="K766" t="s">
        <v>31</v>
      </c>
      <c r="L766" t="s">
        <v>31</v>
      </c>
      <c r="M766" t="s">
        <v>44</v>
      </c>
      <c r="N766">
        <v>15</v>
      </c>
      <c r="O766">
        <v>3</v>
      </c>
      <c r="P766">
        <v>0</v>
      </c>
      <c r="Q766">
        <v>3777.88554801164</v>
      </c>
      <c r="R766">
        <v>22.30843840931135</v>
      </c>
      <c r="S766">
        <v>169.3478260869565</v>
      </c>
      <c r="T766">
        <v>0</v>
      </c>
      <c r="U766">
        <v>0</v>
      </c>
      <c r="V766">
        <v>0</v>
      </c>
      <c r="W766">
        <v>8.267705664762426</v>
      </c>
      <c r="X766">
        <v>0</v>
      </c>
    </row>
    <row r="767" spans="1:24">
      <c r="A767" t="s">
        <v>2340</v>
      </c>
      <c r="B767" t="s">
        <v>2341</v>
      </c>
      <c r="C767" t="s">
        <v>26</v>
      </c>
      <c r="D767">
        <v>0.803</v>
      </c>
      <c r="E767">
        <v>2372</v>
      </c>
      <c r="F767">
        <v>20</v>
      </c>
      <c r="G767" t="s">
        <v>62</v>
      </c>
      <c r="H767" t="s">
        <v>2342</v>
      </c>
      <c r="I767" t="s">
        <v>29</v>
      </c>
      <c r="J767" t="s">
        <v>30</v>
      </c>
      <c r="K767" t="s">
        <v>30</v>
      </c>
      <c r="L767" t="s">
        <v>31</v>
      </c>
      <c r="M767" t="s">
        <v>44</v>
      </c>
      <c r="N767">
        <v>15</v>
      </c>
      <c r="O767">
        <v>3</v>
      </c>
      <c r="P767">
        <v>0</v>
      </c>
      <c r="Q767">
        <v>2953.922789539228</v>
      </c>
      <c r="R767">
        <v>24.906600249066</v>
      </c>
      <c r="S767">
        <v>118.6</v>
      </c>
      <c r="T767">
        <v>0</v>
      </c>
      <c r="U767">
        <v>0</v>
      </c>
      <c r="V767">
        <v>0</v>
      </c>
      <c r="W767">
        <v>7.771910256435763</v>
      </c>
      <c r="X767">
        <v>0</v>
      </c>
    </row>
    <row r="768" spans="1:24">
      <c r="A768" t="s">
        <v>2343</v>
      </c>
      <c r="B768" t="s">
        <v>2344</v>
      </c>
      <c r="C768" t="s">
        <v>35</v>
      </c>
      <c r="D768">
        <v>5.566</v>
      </c>
      <c r="E768">
        <v>6940</v>
      </c>
      <c r="F768">
        <v>15</v>
      </c>
      <c r="G768" t="s">
        <v>36</v>
      </c>
      <c r="H768" t="s">
        <v>2345</v>
      </c>
      <c r="I768" t="s">
        <v>29</v>
      </c>
      <c r="J768" t="s">
        <v>38</v>
      </c>
      <c r="K768" t="s">
        <v>30</v>
      </c>
      <c r="L768" t="s">
        <v>30</v>
      </c>
      <c r="M768" t="s">
        <v>83</v>
      </c>
      <c r="N768">
        <v>15</v>
      </c>
      <c r="O768">
        <v>3</v>
      </c>
      <c r="P768">
        <v>0</v>
      </c>
      <c r="Q768">
        <v>1246.855910887532</v>
      </c>
      <c r="R768">
        <v>2.694933524973051</v>
      </c>
      <c r="S768">
        <v>462.6666666666667</v>
      </c>
      <c r="T768">
        <v>0</v>
      </c>
      <c r="U768">
        <v>0</v>
      </c>
      <c r="V768">
        <v>0</v>
      </c>
      <c r="W768">
        <v>8.845201135339584</v>
      </c>
      <c r="X768">
        <v>0</v>
      </c>
    </row>
    <row r="769" spans="1:24">
      <c r="A769" t="s">
        <v>2346</v>
      </c>
      <c r="B769" t="s">
        <v>2347</v>
      </c>
      <c r="C769" t="s">
        <v>35</v>
      </c>
      <c r="D769">
        <v>2.41</v>
      </c>
      <c r="E769">
        <v>1312</v>
      </c>
      <c r="F769">
        <v>16</v>
      </c>
      <c r="G769" t="s">
        <v>62</v>
      </c>
      <c r="H769" t="s">
        <v>2348</v>
      </c>
      <c r="I769" t="s">
        <v>29</v>
      </c>
      <c r="J769" t="s">
        <v>30</v>
      </c>
      <c r="K769" t="s">
        <v>30</v>
      </c>
      <c r="L769" t="s">
        <v>30</v>
      </c>
      <c r="M769" t="s">
        <v>32</v>
      </c>
      <c r="N769">
        <v>15</v>
      </c>
      <c r="O769">
        <v>3</v>
      </c>
      <c r="P769">
        <v>0</v>
      </c>
      <c r="Q769">
        <v>544.3983402489627</v>
      </c>
      <c r="R769">
        <v>6.639004149377593</v>
      </c>
      <c r="S769">
        <v>82</v>
      </c>
      <c r="T769">
        <v>0</v>
      </c>
      <c r="U769">
        <v>0</v>
      </c>
      <c r="V769">
        <v>0</v>
      </c>
      <c r="W769">
        <v>7.180069874302796</v>
      </c>
      <c r="X769">
        <v>0</v>
      </c>
    </row>
    <row r="770" spans="1:24">
      <c r="A770" t="s">
        <v>2349</v>
      </c>
      <c r="B770" t="s">
        <v>2350</v>
      </c>
      <c r="C770" t="s">
        <v>35</v>
      </c>
      <c r="D770">
        <v>3.566</v>
      </c>
      <c r="E770">
        <v>186</v>
      </c>
      <c r="F770">
        <v>17</v>
      </c>
      <c r="G770" t="s">
        <v>47</v>
      </c>
      <c r="H770" t="s">
        <v>2351</v>
      </c>
      <c r="I770" t="s">
        <v>29</v>
      </c>
      <c r="J770" t="s">
        <v>31</v>
      </c>
      <c r="K770" t="s">
        <v>30</v>
      </c>
      <c r="L770" t="s">
        <v>31</v>
      </c>
      <c r="M770" t="s">
        <v>76</v>
      </c>
      <c r="N770">
        <v>16</v>
      </c>
      <c r="O770">
        <v>3</v>
      </c>
      <c r="P770">
        <v>0</v>
      </c>
      <c r="Q770">
        <v>52.15928210880539</v>
      </c>
      <c r="R770">
        <v>4.767246214245653</v>
      </c>
      <c r="S770">
        <v>10.94117647058824</v>
      </c>
      <c r="T770">
        <v>0</v>
      </c>
      <c r="U770">
        <v>0</v>
      </c>
      <c r="V770">
        <v>0</v>
      </c>
      <c r="W770">
        <v>5.231108616854587</v>
      </c>
      <c r="X770">
        <v>0</v>
      </c>
    </row>
    <row r="771" spans="1:24">
      <c r="A771" t="s">
        <v>2352</v>
      </c>
      <c r="B771" t="s">
        <v>2353</v>
      </c>
      <c r="C771" t="s">
        <v>26</v>
      </c>
      <c r="D771">
        <v>3.341</v>
      </c>
      <c r="E771">
        <v>3990</v>
      </c>
      <c r="F771">
        <v>20</v>
      </c>
      <c r="G771" t="s">
        <v>47</v>
      </c>
      <c r="H771" t="s">
        <v>2354</v>
      </c>
      <c r="I771" t="s">
        <v>29</v>
      </c>
      <c r="J771" t="s">
        <v>31</v>
      </c>
      <c r="K771" t="s">
        <v>30</v>
      </c>
      <c r="L771" t="s">
        <v>30</v>
      </c>
      <c r="M771" t="s">
        <v>97</v>
      </c>
      <c r="N771">
        <v>16</v>
      </c>
      <c r="O771">
        <v>3</v>
      </c>
      <c r="P771">
        <v>0</v>
      </c>
      <c r="Q771">
        <v>1194.253217599521</v>
      </c>
      <c r="R771">
        <v>5.986231667165519</v>
      </c>
      <c r="S771">
        <v>199.5</v>
      </c>
      <c r="T771">
        <v>0</v>
      </c>
      <c r="U771">
        <v>0</v>
      </c>
      <c r="V771">
        <v>0</v>
      </c>
      <c r="W771">
        <v>8.291797105048733</v>
      </c>
      <c r="X771">
        <v>0</v>
      </c>
    </row>
    <row r="772" spans="1:24">
      <c r="A772" t="s">
        <v>2355</v>
      </c>
      <c r="B772" t="s">
        <v>2356</v>
      </c>
      <c r="C772" t="s">
        <v>35</v>
      </c>
      <c r="D772">
        <v>1.44</v>
      </c>
      <c r="E772">
        <v>2083</v>
      </c>
      <c r="F772">
        <v>19</v>
      </c>
      <c r="G772" t="s">
        <v>27</v>
      </c>
      <c r="H772" t="s">
        <v>2357</v>
      </c>
      <c r="I772" t="s">
        <v>29</v>
      </c>
      <c r="J772" t="s">
        <v>30</v>
      </c>
      <c r="K772" t="s">
        <v>30</v>
      </c>
      <c r="L772" t="s">
        <v>30</v>
      </c>
      <c r="M772" t="s">
        <v>44</v>
      </c>
      <c r="N772">
        <v>16</v>
      </c>
      <c r="O772">
        <v>3</v>
      </c>
      <c r="P772">
        <v>0</v>
      </c>
      <c r="Q772">
        <v>1446.527777777778</v>
      </c>
      <c r="R772">
        <v>13.19444444444444</v>
      </c>
      <c r="S772">
        <v>109.6315789473684</v>
      </c>
      <c r="T772">
        <v>0</v>
      </c>
      <c r="U772">
        <v>0</v>
      </c>
      <c r="V772">
        <v>0</v>
      </c>
      <c r="W772">
        <v>7.642044402873258</v>
      </c>
      <c r="X772">
        <v>0</v>
      </c>
    </row>
    <row r="773" spans="1:24">
      <c r="A773" t="s">
        <v>2358</v>
      </c>
      <c r="B773" t="s">
        <v>2359</v>
      </c>
      <c r="C773" t="s">
        <v>35</v>
      </c>
      <c r="D773">
        <v>2.723</v>
      </c>
      <c r="E773">
        <v>5213</v>
      </c>
      <c r="F773">
        <v>14</v>
      </c>
      <c r="G773" t="s">
        <v>62</v>
      </c>
      <c r="H773" t="s">
        <v>2360</v>
      </c>
      <c r="I773" t="s">
        <v>43</v>
      </c>
      <c r="J773" t="s">
        <v>30</v>
      </c>
      <c r="K773" t="s">
        <v>31</v>
      </c>
      <c r="L773" t="s">
        <v>30</v>
      </c>
      <c r="M773" t="s">
        <v>44</v>
      </c>
      <c r="N773">
        <v>16</v>
      </c>
      <c r="O773">
        <v>3</v>
      </c>
      <c r="P773">
        <v>0</v>
      </c>
      <c r="Q773">
        <v>1914.432611090709</v>
      </c>
      <c r="R773">
        <v>5.141388174807198</v>
      </c>
      <c r="S773">
        <v>372.3571428571428</v>
      </c>
      <c r="T773">
        <v>0</v>
      </c>
      <c r="U773">
        <v>0</v>
      </c>
      <c r="V773">
        <v>0</v>
      </c>
      <c r="W773">
        <v>8.559102594493448</v>
      </c>
      <c r="X773">
        <v>1</v>
      </c>
    </row>
    <row r="774" spans="1:24">
      <c r="A774" t="s">
        <v>2361</v>
      </c>
      <c r="B774" t="s">
        <v>2362</v>
      </c>
      <c r="C774" t="s">
        <v>35</v>
      </c>
      <c r="D774">
        <v>0.873</v>
      </c>
      <c r="E774">
        <v>9463</v>
      </c>
      <c r="F774">
        <v>29</v>
      </c>
      <c r="G774" t="s">
        <v>27</v>
      </c>
      <c r="H774" t="s">
        <v>2363</v>
      </c>
      <c r="I774" t="s">
        <v>29</v>
      </c>
      <c r="J774" t="s">
        <v>30</v>
      </c>
      <c r="K774" t="s">
        <v>30</v>
      </c>
      <c r="L774" t="s">
        <v>31</v>
      </c>
      <c r="M774" t="s">
        <v>44</v>
      </c>
      <c r="N774">
        <v>16</v>
      </c>
      <c r="O774">
        <v>3</v>
      </c>
      <c r="P774">
        <v>0</v>
      </c>
      <c r="Q774">
        <v>10839.63344788087</v>
      </c>
      <c r="R774">
        <v>33.21878579610539</v>
      </c>
      <c r="S774">
        <v>326.3103448275862</v>
      </c>
      <c r="T774">
        <v>0</v>
      </c>
      <c r="U774">
        <v>0</v>
      </c>
      <c r="V774">
        <v>0</v>
      </c>
      <c r="W774">
        <v>9.155250405658222</v>
      </c>
      <c r="X774">
        <v>0</v>
      </c>
    </row>
    <row r="775" spans="1:24">
      <c r="A775" t="s">
        <v>2364</v>
      </c>
      <c r="B775" t="s">
        <v>2365</v>
      </c>
      <c r="C775" t="s">
        <v>35</v>
      </c>
      <c r="D775">
        <v>2.087</v>
      </c>
      <c r="E775">
        <v>903</v>
      </c>
      <c r="F775">
        <v>9</v>
      </c>
      <c r="G775" t="s">
        <v>27</v>
      </c>
      <c r="H775" t="s">
        <v>2366</v>
      </c>
      <c r="I775" t="s">
        <v>29</v>
      </c>
      <c r="J775" t="s">
        <v>30</v>
      </c>
      <c r="K775" t="s">
        <v>38</v>
      </c>
      <c r="L775" t="s">
        <v>30</v>
      </c>
      <c r="M775" t="s">
        <v>76</v>
      </c>
      <c r="N775">
        <v>16</v>
      </c>
      <c r="O775">
        <v>3</v>
      </c>
      <c r="P775">
        <v>0</v>
      </c>
      <c r="Q775">
        <v>432.6784858648778</v>
      </c>
      <c r="R775">
        <v>4.312410158121706</v>
      </c>
      <c r="S775">
        <v>100.3333333333333</v>
      </c>
      <c r="T775">
        <v>0</v>
      </c>
      <c r="U775">
        <v>0</v>
      </c>
      <c r="V775">
        <v>0</v>
      </c>
      <c r="W775">
        <v>6.806829360392176</v>
      </c>
      <c r="X775">
        <v>0</v>
      </c>
    </row>
    <row r="776" spans="1:24">
      <c r="A776" t="s">
        <v>2367</v>
      </c>
      <c r="B776" t="s">
        <v>2368</v>
      </c>
      <c r="C776" t="s">
        <v>35</v>
      </c>
      <c r="D776">
        <v>3.86</v>
      </c>
      <c r="E776">
        <v>13832</v>
      </c>
      <c r="F776">
        <v>23</v>
      </c>
      <c r="G776" t="s">
        <v>47</v>
      </c>
      <c r="H776" t="s">
        <v>2369</v>
      </c>
      <c r="I776" t="s">
        <v>29</v>
      </c>
      <c r="J776" t="s">
        <v>31</v>
      </c>
      <c r="K776" t="s">
        <v>30</v>
      </c>
      <c r="L776" t="s">
        <v>30</v>
      </c>
      <c r="M776" t="s">
        <v>97</v>
      </c>
      <c r="N776">
        <v>16</v>
      </c>
      <c r="O776">
        <v>3</v>
      </c>
      <c r="P776">
        <v>0</v>
      </c>
      <c r="Q776">
        <v>3583.419689119171</v>
      </c>
      <c r="R776">
        <v>5.958549222797927</v>
      </c>
      <c r="S776">
        <v>601.3913043478261</v>
      </c>
      <c r="T776">
        <v>0</v>
      </c>
      <c r="U776">
        <v>0</v>
      </c>
      <c r="V776">
        <v>1</v>
      </c>
      <c r="W776">
        <v>9.534812320874815</v>
      </c>
      <c r="X776">
        <v>0</v>
      </c>
    </row>
    <row r="777" spans="1:24">
      <c r="A777" t="s">
        <v>2370</v>
      </c>
      <c r="B777" t="s">
        <v>2371</v>
      </c>
      <c r="C777" t="s">
        <v>26</v>
      </c>
      <c r="D777">
        <v>5.213</v>
      </c>
      <c r="E777">
        <v>1738</v>
      </c>
      <c r="F777">
        <v>14</v>
      </c>
      <c r="G777" t="s">
        <v>27</v>
      </c>
      <c r="H777" t="s">
        <v>2372</v>
      </c>
      <c r="I777" t="s">
        <v>29</v>
      </c>
      <c r="J777" t="s">
        <v>30</v>
      </c>
      <c r="K777" t="s">
        <v>30</v>
      </c>
      <c r="L777" t="s">
        <v>31</v>
      </c>
      <c r="M777" t="s">
        <v>32</v>
      </c>
      <c r="N777">
        <v>16</v>
      </c>
      <c r="O777">
        <v>3</v>
      </c>
      <c r="P777">
        <v>0</v>
      </c>
      <c r="Q777">
        <v>333.3972760406676</v>
      </c>
      <c r="R777">
        <v>2.685593708037598</v>
      </c>
      <c r="S777">
        <v>124.1428571428571</v>
      </c>
      <c r="T777">
        <v>0</v>
      </c>
      <c r="U777">
        <v>0</v>
      </c>
      <c r="V777">
        <v>0</v>
      </c>
      <c r="W777">
        <v>7.461065514354283</v>
      </c>
      <c r="X777">
        <v>0</v>
      </c>
    </row>
    <row r="778" spans="1:24">
      <c r="A778" t="s">
        <v>2373</v>
      </c>
      <c r="B778" t="s">
        <v>2374</v>
      </c>
      <c r="C778" t="s">
        <v>35</v>
      </c>
      <c r="D778">
        <v>3.506</v>
      </c>
      <c r="E778">
        <v>1762</v>
      </c>
      <c r="F778">
        <v>10</v>
      </c>
      <c r="G778" t="s">
        <v>47</v>
      </c>
      <c r="H778" t="s">
        <v>2375</v>
      </c>
      <c r="I778" t="s">
        <v>29</v>
      </c>
      <c r="J778" t="s">
        <v>31</v>
      </c>
      <c r="K778" t="s">
        <v>31</v>
      </c>
      <c r="L778" t="s">
        <v>31</v>
      </c>
      <c r="M778" t="s">
        <v>97</v>
      </c>
      <c r="N778">
        <v>16</v>
      </c>
      <c r="O778">
        <v>3</v>
      </c>
      <c r="P778">
        <v>0</v>
      </c>
      <c r="Q778">
        <v>502.5670279520822</v>
      </c>
      <c r="R778">
        <v>2.852253280091272</v>
      </c>
      <c r="S778">
        <v>176.2</v>
      </c>
      <c r="T778">
        <v>0</v>
      </c>
      <c r="U778">
        <v>0</v>
      </c>
      <c r="V778">
        <v>0</v>
      </c>
      <c r="W778">
        <v>7.47477218239787</v>
      </c>
      <c r="X778">
        <v>0</v>
      </c>
    </row>
    <row r="779" spans="1:24">
      <c r="A779" t="s">
        <v>2376</v>
      </c>
      <c r="B779" t="s">
        <v>2377</v>
      </c>
      <c r="C779" t="s">
        <v>35</v>
      </c>
      <c r="D779">
        <v>4.048</v>
      </c>
      <c r="E779">
        <v>5211</v>
      </c>
      <c r="F779">
        <v>26</v>
      </c>
      <c r="G779" t="s">
        <v>36</v>
      </c>
      <c r="H779" t="s">
        <v>2378</v>
      </c>
      <c r="I779" t="s">
        <v>29</v>
      </c>
      <c r="J779" t="s">
        <v>38</v>
      </c>
      <c r="K779" t="s">
        <v>30</v>
      </c>
      <c r="L779" t="s">
        <v>30</v>
      </c>
      <c r="M779" t="s">
        <v>97</v>
      </c>
      <c r="N779">
        <v>16</v>
      </c>
      <c r="O779">
        <v>3</v>
      </c>
      <c r="P779">
        <v>0</v>
      </c>
      <c r="Q779">
        <v>1287.302371541502</v>
      </c>
      <c r="R779">
        <v>6.422924901185771</v>
      </c>
      <c r="S779">
        <v>200.4230769230769</v>
      </c>
      <c r="T779">
        <v>0</v>
      </c>
      <c r="U779">
        <v>0</v>
      </c>
      <c r="V779">
        <v>0</v>
      </c>
      <c r="W779">
        <v>8.558718938244736</v>
      </c>
      <c r="X779">
        <v>0</v>
      </c>
    </row>
    <row r="780" spans="1:24">
      <c r="A780" t="s">
        <v>2379</v>
      </c>
      <c r="B780" t="s">
        <v>2380</v>
      </c>
      <c r="C780" t="s">
        <v>35</v>
      </c>
      <c r="D780">
        <v>3.281</v>
      </c>
      <c r="E780">
        <v>2330</v>
      </c>
      <c r="F780">
        <v>14</v>
      </c>
      <c r="G780" t="s">
        <v>62</v>
      </c>
      <c r="H780" t="s">
        <v>2381</v>
      </c>
      <c r="I780" t="s">
        <v>29</v>
      </c>
      <c r="J780" t="s">
        <v>30</v>
      </c>
      <c r="K780" t="s">
        <v>30</v>
      </c>
      <c r="L780" t="s">
        <v>30</v>
      </c>
      <c r="M780" t="s">
        <v>44</v>
      </c>
      <c r="N780">
        <v>16</v>
      </c>
      <c r="O780">
        <v>3</v>
      </c>
      <c r="P780">
        <v>0</v>
      </c>
      <c r="Q780">
        <v>710.1493447119781</v>
      </c>
      <c r="R780">
        <v>4.266991770801584</v>
      </c>
      <c r="S780">
        <v>166.4285714285714</v>
      </c>
      <c r="T780">
        <v>0</v>
      </c>
      <c r="U780">
        <v>0</v>
      </c>
      <c r="V780">
        <v>0</v>
      </c>
      <c r="W780">
        <v>7.754052639035757</v>
      </c>
      <c r="X780">
        <v>0</v>
      </c>
    </row>
    <row r="781" spans="1:24">
      <c r="A781" t="s">
        <v>2382</v>
      </c>
      <c r="B781" t="s">
        <v>2383</v>
      </c>
      <c r="C781" t="s">
        <v>26</v>
      </c>
      <c r="D781">
        <v>6.411</v>
      </c>
      <c r="E781">
        <v>1919</v>
      </c>
      <c r="F781">
        <v>21</v>
      </c>
      <c r="G781" t="s">
        <v>27</v>
      </c>
      <c r="H781" t="s">
        <v>2384</v>
      </c>
      <c r="I781" t="s">
        <v>29</v>
      </c>
      <c r="J781" t="s">
        <v>30</v>
      </c>
      <c r="K781" t="s">
        <v>31</v>
      </c>
      <c r="L781" t="s">
        <v>31</v>
      </c>
      <c r="M781" t="s">
        <v>44</v>
      </c>
      <c r="N781">
        <v>16</v>
      </c>
      <c r="O781">
        <v>3</v>
      </c>
      <c r="P781">
        <v>0</v>
      </c>
      <c r="Q781">
        <v>299.3292778037748</v>
      </c>
      <c r="R781">
        <v>3.275620028076743</v>
      </c>
      <c r="S781">
        <v>91.38095238095238</v>
      </c>
      <c r="T781">
        <v>0</v>
      </c>
      <c r="U781">
        <v>0</v>
      </c>
      <c r="V781">
        <v>0</v>
      </c>
      <c r="W781">
        <v>7.560080465021827</v>
      </c>
      <c r="X781">
        <v>0</v>
      </c>
    </row>
    <row r="782" spans="1:24">
      <c r="A782" t="s">
        <v>2385</v>
      </c>
      <c r="B782" t="s">
        <v>2386</v>
      </c>
      <c r="C782" t="s">
        <v>26</v>
      </c>
      <c r="D782">
        <v>3.737</v>
      </c>
      <c r="E782">
        <v>11698</v>
      </c>
      <c r="F782">
        <v>16</v>
      </c>
      <c r="G782" t="s">
        <v>36</v>
      </c>
      <c r="H782" t="s">
        <v>2387</v>
      </c>
      <c r="I782" t="s">
        <v>29</v>
      </c>
      <c r="J782" t="s">
        <v>38</v>
      </c>
      <c r="K782" t="s">
        <v>30</v>
      </c>
      <c r="L782" t="s">
        <v>31</v>
      </c>
      <c r="M782" t="s">
        <v>83</v>
      </c>
      <c r="N782">
        <v>17</v>
      </c>
      <c r="O782">
        <v>3</v>
      </c>
      <c r="P782">
        <v>0</v>
      </c>
      <c r="Q782">
        <v>3130.31843724913</v>
      </c>
      <c r="R782">
        <v>4.281509232004281</v>
      </c>
      <c r="S782">
        <v>731.125</v>
      </c>
      <c r="T782">
        <v>0</v>
      </c>
      <c r="U782">
        <v>0</v>
      </c>
      <c r="V782">
        <v>1</v>
      </c>
      <c r="W782">
        <v>9.367258647047599</v>
      </c>
      <c r="X782">
        <v>0</v>
      </c>
    </row>
    <row r="783" spans="1:24">
      <c r="A783" t="s">
        <v>2388</v>
      </c>
      <c r="B783" t="s">
        <v>2389</v>
      </c>
      <c r="C783" t="s">
        <v>26</v>
      </c>
      <c r="D783">
        <v>0.638</v>
      </c>
      <c r="E783">
        <v>813</v>
      </c>
      <c r="F783">
        <v>10</v>
      </c>
      <c r="G783" t="s">
        <v>36</v>
      </c>
      <c r="H783" t="s">
        <v>2390</v>
      </c>
      <c r="I783" t="s">
        <v>29</v>
      </c>
      <c r="J783" t="s">
        <v>38</v>
      </c>
      <c r="K783" t="s">
        <v>30</v>
      </c>
      <c r="L783" t="s">
        <v>31</v>
      </c>
      <c r="M783" t="s">
        <v>97</v>
      </c>
      <c r="N783">
        <v>17</v>
      </c>
      <c r="O783">
        <v>3</v>
      </c>
      <c r="P783">
        <v>0</v>
      </c>
      <c r="Q783">
        <v>1274.294670846395</v>
      </c>
      <c r="R783">
        <v>15.67398119122257</v>
      </c>
      <c r="S783">
        <v>81.3</v>
      </c>
      <c r="T783">
        <v>0</v>
      </c>
      <c r="U783">
        <v>0</v>
      </c>
      <c r="V783">
        <v>0</v>
      </c>
      <c r="W783">
        <v>6.70196036600254</v>
      </c>
      <c r="X783">
        <v>0</v>
      </c>
    </row>
    <row r="784" spans="1:24">
      <c r="A784" t="s">
        <v>2391</v>
      </c>
      <c r="B784" t="s">
        <v>2392</v>
      </c>
      <c r="C784" t="s">
        <v>35</v>
      </c>
      <c r="D784">
        <v>2.197</v>
      </c>
      <c r="E784">
        <v>2401</v>
      </c>
      <c r="F784">
        <v>17</v>
      </c>
      <c r="G784" t="s">
        <v>36</v>
      </c>
      <c r="H784" t="s">
        <v>2393</v>
      </c>
      <c r="I784" t="s">
        <v>29</v>
      </c>
      <c r="J784" t="s">
        <v>38</v>
      </c>
      <c r="K784" t="s">
        <v>31</v>
      </c>
      <c r="L784" t="s">
        <v>31</v>
      </c>
      <c r="M784" t="s">
        <v>39</v>
      </c>
      <c r="N784">
        <v>17</v>
      </c>
      <c r="O784">
        <v>3</v>
      </c>
      <c r="P784">
        <v>0</v>
      </c>
      <c r="Q784">
        <v>1092.85389167046</v>
      </c>
      <c r="R784">
        <v>7.737824305871642</v>
      </c>
      <c r="S784">
        <v>141.2352941176471</v>
      </c>
      <c r="T784">
        <v>0</v>
      </c>
      <c r="U784">
        <v>0</v>
      </c>
      <c r="V784">
        <v>0</v>
      </c>
      <c r="W784">
        <v>7.784057002639929</v>
      </c>
      <c r="X784">
        <v>0</v>
      </c>
    </row>
    <row r="785" spans="1:24">
      <c r="A785" t="s">
        <v>2394</v>
      </c>
      <c r="B785" t="s">
        <v>2395</v>
      </c>
      <c r="C785" t="s">
        <v>35</v>
      </c>
      <c r="D785">
        <v>2.787</v>
      </c>
      <c r="E785">
        <v>2825</v>
      </c>
      <c r="F785">
        <v>21</v>
      </c>
      <c r="G785" t="s">
        <v>36</v>
      </c>
      <c r="H785" t="s">
        <v>2396</v>
      </c>
      <c r="I785" t="s">
        <v>29</v>
      </c>
      <c r="J785" t="s">
        <v>38</v>
      </c>
      <c r="K785" t="s">
        <v>30</v>
      </c>
      <c r="L785" t="s">
        <v>30</v>
      </c>
      <c r="M785" t="s">
        <v>97</v>
      </c>
      <c r="N785">
        <v>17</v>
      </c>
      <c r="O785">
        <v>3</v>
      </c>
      <c r="P785">
        <v>0</v>
      </c>
      <c r="Q785">
        <v>1013.634732687478</v>
      </c>
      <c r="R785">
        <v>7.534983853606028</v>
      </c>
      <c r="S785">
        <v>134.5238095238095</v>
      </c>
      <c r="T785">
        <v>0</v>
      </c>
      <c r="U785">
        <v>0</v>
      </c>
      <c r="V785">
        <v>0</v>
      </c>
      <c r="W785">
        <v>7.946617563244473</v>
      </c>
      <c r="X785">
        <v>0</v>
      </c>
    </row>
    <row r="786" spans="1:24">
      <c r="A786" t="s">
        <v>2397</v>
      </c>
      <c r="B786" t="s">
        <v>2398</v>
      </c>
      <c r="C786" t="s">
        <v>26</v>
      </c>
      <c r="D786">
        <v>2.647</v>
      </c>
      <c r="E786">
        <v>3202</v>
      </c>
      <c r="F786">
        <v>15</v>
      </c>
      <c r="G786" t="s">
        <v>62</v>
      </c>
      <c r="H786" t="s">
        <v>2399</v>
      </c>
      <c r="I786" t="s">
        <v>29</v>
      </c>
      <c r="J786" t="s">
        <v>30</v>
      </c>
      <c r="K786" t="s">
        <v>31</v>
      </c>
      <c r="L786" t="s">
        <v>31</v>
      </c>
      <c r="M786" t="s">
        <v>44</v>
      </c>
      <c r="N786">
        <v>17</v>
      </c>
      <c r="O786">
        <v>3</v>
      </c>
      <c r="P786">
        <v>0</v>
      </c>
      <c r="Q786">
        <v>1209.671326029467</v>
      </c>
      <c r="R786">
        <v>5.666792595391009</v>
      </c>
      <c r="S786">
        <v>213.4666666666667</v>
      </c>
      <c r="T786">
        <v>0</v>
      </c>
      <c r="U786">
        <v>0</v>
      </c>
      <c r="V786">
        <v>0</v>
      </c>
      <c r="W786">
        <v>8.071843149609158</v>
      </c>
      <c r="X786">
        <v>0</v>
      </c>
    </row>
    <row r="787" spans="1:24">
      <c r="A787" t="s">
        <v>2400</v>
      </c>
      <c r="B787" t="s">
        <v>2401</v>
      </c>
      <c r="C787" t="s">
        <v>26</v>
      </c>
      <c r="D787">
        <v>4.53</v>
      </c>
      <c r="E787">
        <v>6586</v>
      </c>
      <c r="F787">
        <v>21</v>
      </c>
      <c r="G787" t="s">
        <v>62</v>
      </c>
      <c r="H787" t="s">
        <v>2402</v>
      </c>
      <c r="I787" t="s">
        <v>29</v>
      </c>
      <c r="J787" t="s">
        <v>30</v>
      </c>
      <c r="K787" t="s">
        <v>31</v>
      </c>
      <c r="L787" t="s">
        <v>31</v>
      </c>
      <c r="M787" t="s">
        <v>76</v>
      </c>
      <c r="N787">
        <v>17</v>
      </c>
      <c r="O787">
        <v>3</v>
      </c>
      <c r="P787">
        <v>0</v>
      </c>
      <c r="Q787">
        <v>1453.863134657837</v>
      </c>
      <c r="R787">
        <v>4.635761589403973</v>
      </c>
      <c r="S787">
        <v>313.6190476190476</v>
      </c>
      <c r="T787">
        <v>0</v>
      </c>
      <c r="U787">
        <v>0</v>
      </c>
      <c r="V787">
        <v>0</v>
      </c>
      <c r="W787">
        <v>8.792853288640693</v>
      </c>
      <c r="X787">
        <v>0</v>
      </c>
    </row>
    <row r="788" spans="1:24">
      <c r="A788" t="s">
        <v>2403</v>
      </c>
      <c r="B788" t="s">
        <v>2404</v>
      </c>
      <c r="C788" t="s">
        <v>35</v>
      </c>
      <c r="D788">
        <v>3.288</v>
      </c>
      <c r="E788">
        <v>2632</v>
      </c>
      <c r="F788">
        <v>22</v>
      </c>
      <c r="G788" t="s">
        <v>27</v>
      </c>
      <c r="H788" t="s">
        <v>2405</v>
      </c>
      <c r="I788" t="s">
        <v>29</v>
      </c>
      <c r="J788" t="s">
        <v>30</v>
      </c>
      <c r="K788" t="s">
        <v>30</v>
      </c>
      <c r="L788" t="s">
        <v>31</v>
      </c>
      <c r="M788" t="s">
        <v>44</v>
      </c>
      <c r="N788">
        <v>17</v>
      </c>
      <c r="O788">
        <v>3</v>
      </c>
      <c r="P788">
        <v>0</v>
      </c>
      <c r="Q788">
        <v>800.4866180048663</v>
      </c>
      <c r="R788">
        <v>6.690997566909976</v>
      </c>
      <c r="S788">
        <v>119.6363636363636</v>
      </c>
      <c r="T788">
        <v>0</v>
      </c>
      <c r="U788">
        <v>0</v>
      </c>
      <c r="V788">
        <v>0</v>
      </c>
      <c r="W788">
        <v>7.87587915949631</v>
      </c>
      <c r="X788">
        <v>0</v>
      </c>
    </row>
    <row r="789" spans="1:24">
      <c r="A789" t="s">
        <v>2406</v>
      </c>
      <c r="B789" t="s">
        <v>2407</v>
      </c>
      <c r="C789" t="s">
        <v>26</v>
      </c>
      <c r="D789">
        <v>2.573</v>
      </c>
      <c r="E789">
        <v>2619</v>
      </c>
      <c r="F789">
        <v>23</v>
      </c>
      <c r="G789" t="s">
        <v>36</v>
      </c>
      <c r="H789" t="s">
        <v>2408</v>
      </c>
      <c r="I789" t="s">
        <v>29</v>
      </c>
      <c r="J789" t="s">
        <v>38</v>
      </c>
      <c r="K789" t="s">
        <v>30</v>
      </c>
      <c r="L789" t="s">
        <v>30</v>
      </c>
      <c r="M789" t="s">
        <v>76</v>
      </c>
      <c r="N789">
        <v>17</v>
      </c>
      <c r="O789">
        <v>3</v>
      </c>
      <c r="P789">
        <v>0</v>
      </c>
      <c r="Q789">
        <v>1017.87796346677</v>
      </c>
      <c r="R789">
        <v>8.938981733385154</v>
      </c>
      <c r="S789">
        <v>113.8695652173913</v>
      </c>
      <c r="T789">
        <v>0</v>
      </c>
      <c r="U789">
        <v>0</v>
      </c>
      <c r="V789">
        <v>0</v>
      </c>
      <c r="W789">
        <v>7.870929596755142</v>
      </c>
      <c r="X789">
        <v>0</v>
      </c>
    </row>
    <row r="790" spans="1:24">
      <c r="A790" t="s">
        <v>2409</v>
      </c>
      <c r="B790" t="s">
        <v>2410</v>
      </c>
      <c r="C790" t="s">
        <v>35</v>
      </c>
      <c r="D790">
        <v>4.553</v>
      </c>
      <c r="E790">
        <v>6020</v>
      </c>
      <c r="F790">
        <v>23</v>
      </c>
      <c r="G790" t="s">
        <v>47</v>
      </c>
      <c r="H790" t="s">
        <v>2411</v>
      </c>
      <c r="I790" t="s">
        <v>29</v>
      </c>
      <c r="J790" t="s">
        <v>31</v>
      </c>
      <c r="K790" t="s">
        <v>38</v>
      </c>
      <c r="L790" t="s">
        <v>38</v>
      </c>
      <c r="M790" t="s">
        <v>44</v>
      </c>
      <c r="N790">
        <v>17</v>
      </c>
      <c r="O790">
        <v>3</v>
      </c>
      <c r="P790">
        <v>0</v>
      </c>
      <c r="Q790">
        <v>1322.205139468482</v>
      </c>
      <c r="R790">
        <v>5.05161432022842</v>
      </c>
      <c r="S790">
        <v>261.7391304347826</v>
      </c>
      <c r="T790">
        <v>0</v>
      </c>
      <c r="U790">
        <v>0</v>
      </c>
      <c r="V790">
        <v>0</v>
      </c>
      <c r="W790">
        <v>8.703008637464448</v>
      </c>
      <c r="X790">
        <v>0</v>
      </c>
    </row>
    <row r="791" spans="1:24">
      <c r="A791" t="s">
        <v>2412</v>
      </c>
      <c r="B791" t="s">
        <v>2413</v>
      </c>
      <c r="C791" t="s">
        <v>35</v>
      </c>
      <c r="D791">
        <v>3.49</v>
      </c>
      <c r="E791">
        <v>4383</v>
      </c>
      <c r="F791">
        <v>22</v>
      </c>
      <c r="G791" t="s">
        <v>27</v>
      </c>
      <c r="H791" t="s">
        <v>2414</v>
      </c>
      <c r="I791" t="s">
        <v>29</v>
      </c>
      <c r="J791" t="s">
        <v>30</v>
      </c>
      <c r="K791" t="s">
        <v>30</v>
      </c>
      <c r="L791" t="s">
        <v>31</v>
      </c>
      <c r="M791" t="s">
        <v>83</v>
      </c>
      <c r="N791">
        <v>17</v>
      </c>
      <c r="O791">
        <v>3</v>
      </c>
      <c r="P791">
        <v>0</v>
      </c>
      <c r="Q791">
        <v>1255.873925501432</v>
      </c>
      <c r="R791">
        <v>6.303724928366762</v>
      </c>
      <c r="S791">
        <v>199.2272727272727</v>
      </c>
      <c r="T791">
        <v>0</v>
      </c>
      <c r="U791">
        <v>0</v>
      </c>
      <c r="V791">
        <v>0</v>
      </c>
      <c r="W791">
        <v>8.385716828627851</v>
      </c>
      <c r="X791">
        <v>0</v>
      </c>
    </row>
    <row r="792" spans="1:24">
      <c r="A792" t="s">
        <v>2415</v>
      </c>
      <c r="B792" t="s">
        <v>2416</v>
      </c>
      <c r="C792" t="s">
        <v>26</v>
      </c>
      <c r="D792">
        <v>0.105</v>
      </c>
      <c r="E792">
        <v>600</v>
      </c>
      <c r="F792">
        <v>2</v>
      </c>
      <c r="G792" t="s">
        <v>47</v>
      </c>
      <c r="H792" t="s">
        <v>2417</v>
      </c>
      <c r="I792" t="s">
        <v>90</v>
      </c>
      <c r="J792" t="s">
        <v>31</v>
      </c>
      <c r="K792" t="s">
        <v>30</v>
      </c>
      <c r="L792" t="s">
        <v>30</v>
      </c>
      <c r="M792" t="s">
        <v>97</v>
      </c>
      <c r="N792">
        <v>17</v>
      </c>
      <c r="O792">
        <v>3</v>
      </c>
      <c r="P792">
        <v>0</v>
      </c>
      <c r="Q792">
        <v>5714.285714285715</v>
      </c>
      <c r="R792">
        <v>19.04761904761905</v>
      </c>
      <c r="S792">
        <v>300</v>
      </c>
      <c r="T792">
        <v>0</v>
      </c>
      <c r="U792">
        <v>0</v>
      </c>
      <c r="V792">
        <v>0</v>
      </c>
      <c r="W792">
        <v>6.398594934535208</v>
      </c>
      <c r="X792">
        <v>1</v>
      </c>
    </row>
    <row r="793" spans="1:24">
      <c r="A793" t="s">
        <v>2418</v>
      </c>
      <c r="B793" t="s">
        <v>2419</v>
      </c>
      <c r="C793" t="s">
        <v>35</v>
      </c>
      <c r="D793">
        <v>3.224</v>
      </c>
      <c r="E793">
        <v>1078</v>
      </c>
      <c r="F793">
        <v>14</v>
      </c>
      <c r="G793" t="s">
        <v>27</v>
      </c>
      <c r="H793" t="s">
        <v>2420</v>
      </c>
      <c r="I793" t="s">
        <v>29</v>
      </c>
      <c r="J793" t="s">
        <v>30</v>
      </c>
      <c r="K793" t="s">
        <v>30</v>
      </c>
      <c r="L793" t="s">
        <v>30</v>
      </c>
      <c r="M793" t="s">
        <v>32</v>
      </c>
      <c r="N793">
        <v>17</v>
      </c>
      <c r="O793">
        <v>3</v>
      </c>
      <c r="P793">
        <v>0</v>
      </c>
      <c r="Q793">
        <v>334.3672456575682</v>
      </c>
      <c r="R793">
        <v>4.3424317617866</v>
      </c>
      <c r="S793">
        <v>77</v>
      </c>
      <c r="T793">
        <v>0</v>
      </c>
      <c r="U793">
        <v>0</v>
      </c>
      <c r="V793">
        <v>0</v>
      </c>
      <c r="W793">
        <v>6.983789965258135</v>
      </c>
      <c r="X793">
        <v>0</v>
      </c>
    </row>
    <row r="794" spans="1:24">
      <c r="A794" t="s">
        <v>2421</v>
      </c>
      <c r="B794" t="s">
        <v>2422</v>
      </c>
      <c r="C794" t="s">
        <v>26</v>
      </c>
      <c r="D794">
        <v>1.504</v>
      </c>
      <c r="E794">
        <v>2178</v>
      </c>
      <c r="F794">
        <v>17</v>
      </c>
      <c r="G794" t="s">
        <v>27</v>
      </c>
      <c r="H794" t="s">
        <v>2423</v>
      </c>
      <c r="I794" t="s">
        <v>29</v>
      </c>
      <c r="J794" t="s">
        <v>30</v>
      </c>
      <c r="K794" t="s">
        <v>38</v>
      </c>
      <c r="L794" t="s">
        <v>31</v>
      </c>
      <c r="M794" t="s">
        <v>97</v>
      </c>
      <c r="N794">
        <v>18</v>
      </c>
      <c r="O794">
        <v>3</v>
      </c>
      <c r="P794">
        <v>0</v>
      </c>
      <c r="Q794">
        <v>1448.13829787234</v>
      </c>
      <c r="R794">
        <v>11.3031914893617</v>
      </c>
      <c r="S794">
        <v>128.1176470588235</v>
      </c>
      <c r="T794">
        <v>0</v>
      </c>
      <c r="U794">
        <v>0</v>
      </c>
      <c r="V794">
        <v>0</v>
      </c>
      <c r="W794">
        <v>7.68662133494462</v>
      </c>
      <c r="X794">
        <v>0</v>
      </c>
    </row>
    <row r="795" spans="1:24">
      <c r="A795" t="s">
        <v>2424</v>
      </c>
      <c r="B795" t="s">
        <v>2425</v>
      </c>
      <c r="C795" t="s">
        <v>35</v>
      </c>
      <c r="D795">
        <v>3.531</v>
      </c>
      <c r="E795">
        <v>4121</v>
      </c>
      <c r="F795">
        <v>21</v>
      </c>
      <c r="G795" t="s">
        <v>36</v>
      </c>
      <c r="H795" t="s">
        <v>2426</v>
      </c>
      <c r="I795" t="s">
        <v>29</v>
      </c>
      <c r="J795" t="s">
        <v>38</v>
      </c>
      <c r="K795" t="s">
        <v>30</v>
      </c>
      <c r="L795" t="s">
        <v>30</v>
      </c>
      <c r="M795" t="s">
        <v>44</v>
      </c>
      <c r="N795">
        <v>18</v>
      </c>
      <c r="O795">
        <v>3</v>
      </c>
      <c r="P795">
        <v>0</v>
      </c>
      <c r="Q795">
        <v>1167.09147550269</v>
      </c>
      <c r="R795">
        <v>5.94732370433305</v>
      </c>
      <c r="S795">
        <v>196.2380952380952</v>
      </c>
      <c r="T795">
        <v>0</v>
      </c>
      <c r="U795">
        <v>0</v>
      </c>
      <c r="V795">
        <v>0</v>
      </c>
      <c r="W795">
        <v>8.324093761450404</v>
      </c>
      <c r="X795">
        <v>0</v>
      </c>
    </row>
    <row r="796" spans="1:24">
      <c r="A796" t="s">
        <v>2427</v>
      </c>
      <c r="B796" t="s">
        <v>2428</v>
      </c>
      <c r="C796" t="s">
        <v>130</v>
      </c>
      <c r="D796">
        <v>1.307</v>
      </c>
      <c r="E796">
        <v>2589</v>
      </c>
      <c r="F796">
        <v>19</v>
      </c>
      <c r="G796" t="s">
        <v>47</v>
      </c>
      <c r="H796" t="s">
        <v>2429</v>
      </c>
      <c r="I796" t="s">
        <v>29</v>
      </c>
      <c r="J796" t="s">
        <v>31</v>
      </c>
      <c r="K796" t="s">
        <v>30</v>
      </c>
      <c r="L796" t="s">
        <v>30</v>
      </c>
      <c r="M796" t="s">
        <v>97</v>
      </c>
      <c r="N796">
        <v>18</v>
      </c>
      <c r="O796">
        <v>3</v>
      </c>
      <c r="P796">
        <v>0</v>
      </c>
      <c r="Q796">
        <v>1980.872226472839</v>
      </c>
      <c r="R796">
        <v>14.53710788064269</v>
      </c>
      <c r="S796">
        <v>136.2631578947368</v>
      </c>
      <c r="T796">
        <v>0</v>
      </c>
      <c r="U796">
        <v>0</v>
      </c>
      <c r="V796">
        <v>0</v>
      </c>
      <c r="W796">
        <v>7.859413154693583</v>
      </c>
      <c r="X796">
        <v>0</v>
      </c>
    </row>
    <row r="797" spans="1:24">
      <c r="A797" t="s">
        <v>2430</v>
      </c>
      <c r="B797" t="s">
        <v>2431</v>
      </c>
      <c r="C797" t="s">
        <v>35</v>
      </c>
      <c r="D797">
        <v>2.984</v>
      </c>
      <c r="E797">
        <v>2280</v>
      </c>
      <c r="F797">
        <v>19</v>
      </c>
      <c r="G797" t="s">
        <v>62</v>
      </c>
      <c r="H797" t="s">
        <v>2432</v>
      </c>
      <c r="I797" t="s">
        <v>29</v>
      </c>
      <c r="J797" t="s">
        <v>30</v>
      </c>
      <c r="K797" t="s">
        <v>31</v>
      </c>
      <c r="L797" t="s">
        <v>30</v>
      </c>
      <c r="M797" t="s">
        <v>76</v>
      </c>
      <c r="N797">
        <v>18</v>
      </c>
      <c r="O797">
        <v>3</v>
      </c>
      <c r="P797">
        <v>0</v>
      </c>
      <c r="Q797">
        <v>764.0750670241287</v>
      </c>
      <c r="R797">
        <v>6.367292225201073</v>
      </c>
      <c r="S797">
        <v>120</v>
      </c>
      <c r="T797">
        <v>0</v>
      </c>
      <c r="U797">
        <v>0</v>
      </c>
      <c r="V797">
        <v>0</v>
      </c>
      <c r="W797">
        <v>7.732369222284388</v>
      </c>
      <c r="X797">
        <v>0</v>
      </c>
    </row>
    <row r="798" spans="1:24">
      <c r="A798" t="s">
        <v>2433</v>
      </c>
      <c r="B798" t="s">
        <v>2434</v>
      </c>
      <c r="C798" t="s">
        <v>35</v>
      </c>
      <c r="D798">
        <v>0.182</v>
      </c>
      <c r="E798">
        <v>2139</v>
      </c>
      <c r="F798">
        <v>4</v>
      </c>
      <c r="G798" t="s">
        <v>36</v>
      </c>
      <c r="H798" t="s">
        <v>2435</v>
      </c>
      <c r="I798" t="s">
        <v>90</v>
      </c>
      <c r="J798" t="s">
        <v>38</v>
      </c>
      <c r="K798" t="s">
        <v>30</v>
      </c>
      <c r="L798" t="s">
        <v>31</v>
      </c>
      <c r="M798" t="s">
        <v>97</v>
      </c>
      <c r="N798">
        <v>18</v>
      </c>
      <c r="O798">
        <v>3</v>
      </c>
      <c r="P798">
        <v>0</v>
      </c>
      <c r="Q798">
        <v>11752.74725274725</v>
      </c>
      <c r="R798">
        <v>21.97802197802197</v>
      </c>
      <c r="S798">
        <v>534.75</v>
      </c>
      <c r="T798">
        <v>0</v>
      </c>
      <c r="U798">
        <v>0</v>
      </c>
      <c r="V798">
        <v>0</v>
      </c>
      <c r="W798">
        <v>7.668561108015897</v>
      </c>
      <c r="X798">
        <v>1</v>
      </c>
    </row>
    <row r="799" spans="1:24">
      <c r="A799" t="s">
        <v>2436</v>
      </c>
      <c r="B799" t="s">
        <v>2437</v>
      </c>
      <c r="C799" t="s">
        <v>52</v>
      </c>
      <c r="D799">
        <v>1.831</v>
      </c>
      <c r="E799">
        <v>12244</v>
      </c>
      <c r="F799">
        <v>52</v>
      </c>
      <c r="G799" t="s">
        <v>62</v>
      </c>
      <c r="H799" t="s">
        <v>2438</v>
      </c>
      <c r="I799" t="s">
        <v>49</v>
      </c>
      <c r="J799" t="s">
        <v>30</v>
      </c>
      <c r="K799" t="s">
        <v>30</v>
      </c>
      <c r="L799" t="s">
        <v>31</v>
      </c>
      <c r="M799" t="s">
        <v>76</v>
      </c>
      <c r="N799">
        <v>18</v>
      </c>
      <c r="O799">
        <v>3</v>
      </c>
      <c r="P799">
        <v>0</v>
      </c>
      <c r="Q799">
        <v>6687.056253413435</v>
      </c>
      <c r="R799">
        <v>28.399781540142</v>
      </c>
      <c r="S799">
        <v>235.4615384615385</v>
      </c>
      <c r="T799">
        <v>0</v>
      </c>
      <c r="U799">
        <v>0</v>
      </c>
      <c r="V799">
        <v>1</v>
      </c>
      <c r="W799">
        <v>9.412872969386267</v>
      </c>
      <c r="X799">
        <v>1</v>
      </c>
    </row>
    <row r="800" spans="1:24">
      <c r="A800" t="s">
        <v>2439</v>
      </c>
      <c r="B800" t="s">
        <v>2440</v>
      </c>
      <c r="C800" t="s">
        <v>26</v>
      </c>
      <c r="D800">
        <v>5.875</v>
      </c>
      <c r="E800">
        <v>3952</v>
      </c>
      <c r="F800">
        <v>16</v>
      </c>
      <c r="G800" t="s">
        <v>62</v>
      </c>
      <c r="H800" t="s">
        <v>2441</v>
      </c>
      <c r="I800" t="s">
        <v>29</v>
      </c>
      <c r="J800" t="s">
        <v>30</v>
      </c>
      <c r="K800" t="s">
        <v>31</v>
      </c>
      <c r="L800" t="s">
        <v>30</v>
      </c>
      <c r="M800" t="s">
        <v>83</v>
      </c>
      <c r="N800">
        <v>18</v>
      </c>
      <c r="O800">
        <v>3</v>
      </c>
      <c r="P800">
        <v>0</v>
      </c>
      <c r="Q800">
        <v>672.6808510638298</v>
      </c>
      <c r="R800">
        <v>2.723404255319149</v>
      </c>
      <c r="S800">
        <v>247</v>
      </c>
      <c r="T800">
        <v>0</v>
      </c>
      <c r="U800">
        <v>0</v>
      </c>
      <c r="V800">
        <v>0</v>
      </c>
      <c r="W800">
        <v>8.282230063296685</v>
      </c>
      <c r="X800">
        <v>0</v>
      </c>
    </row>
    <row r="801" spans="1:24">
      <c r="A801" t="s">
        <v>2442</v>
      </c>
      <c r="B801" t="s">
        <v>2443</v>
      </c>
      <c r="C801" t="s">
        <v>35</v>
      </c>
      <c r="D801">
        <v>4.356</v>
      </c>
      <c r="E801">
        <v>6378</v>
      </c>
      <c r="F801">
        <v>18</v>
      </c>
      <c r="G801" t="s">
        <v>47</v>
      </c>
      <c r="H801" t="s">
        <v>2444</v>
      </c>
      <c r="I801" t="s">
        <v>29</v>
      </c>
      <c r="J801" t="s">
        <v>31</v>
      </c>
      <c r="K801" t="s">
        <v>30</v>
      </c>
      <c r="L801" t="s">
        <v>30</v>
      </c>
      <c r="M801" t="s">
        <v>44</v>
      </c>
      <c r="N801">
        <v>18</v>
      </c>
      <c r="O801">
        <v>3</v>
      </c>
      <c r="P801">
        <v>0</v>
      </c>
      <c r="Q801">
        <v>1464.187327823692</v>
      </c>
      <c r="R801">
        <v>4.132231404958678</v>
      </c>
      <c r="S801">
        <v>354.3333333333333</v>
      </c>
      <c r="T801">
        <v>0</v>
      </c>
      <c r="U801">
        <v>0</v>
      </c>
      <c r="V801">
        <v>0</v>
      </c>
      <c r="W801">
        <v>8.760766624241956</v>
      </c>
      <c r="X801">
        <v>0</v>
      </c>
    </row>
    <row r="802" spans="1:24">
      <c r="A802" t="s">
        <v>2445</v>
      </c>
      <c r="B802" t="s">
        <v>2446</v>
      </c>
      <c r="C802" t="s">
        <v>35</v>
      </c>
      <c r="D802">
        <v>5.872</v>
      </c>
      <c r="E802">
        <v>6970</v>
      </c>
      <c r="F802">
        <v>17</v>
      </c>
      <c r="G802" t="s">
        <v>47</v>
      </c>
      <c r="H802" t="s">
        <v>2447</v>
      </c>
      <c r="I802" t="s">
        <v>29</v>
      </c>
      <c r="J802" t="s">
        <v>31</v>
      </c>
      <c r="K802" t="s">
        <v>31</v>
      </c>
      <c r="L802" t="s">
        <v>30</v>
      </c>
      <c r="M802" t="s">
        <v>39</v>
      </c>
      <c r="N802">
        <v>18</v>
      </c>
      <c r="O802">
        <v>3</v>
      </c>
      <c r="P802">
        <v>0</v>
      </c>
      <c r="Q802">
        <v>1186.989100817439</v>
      </c>
      <c r="R802">
        <v>2.895095367847412</v>
      </c>
      <c r="S802">
        <v>410</v>
      </c>
      <c r="T802">
        <v>0</v>
      </c>
      <c r="U802">
        <v>0</v>
      </c>
      <c r="V802">
        <v>0</v>
      </c>
      <c r="W802">
        <v>8.849513965486398</v>
      </c>
      <c r="X802">
        <v>0</v>
      </c>
    </row>
    <row r="803" spans="1:24">
      <c r="A803" t="s">
        <v>2448</v>
      </c>
      <c r="B803" t="s">
        <v>2449</v>
      </c>
      <c r="C803" t="s">
        <v>26</v>
      </c>
      <c r="D803">
        <v>1.676</v>
      </c>
      <c r="E803">
        <v>1488</v>
      </c>
      <c r="F803">
        <v>18</v>
      </c>
      <c r="G803" t="s">
        <v>62</v>
      </c>
      <c r="H803" t="s">
        <v>2450</v>
      </c>
      <c r="I803" t="s">
        <v>29</v>
      </c>
      <c r="J803" t="s">
        <v>30</v>
      </c>
      <c r="K803" t="s">
        <v>30</v>
      </c>
      <c r="L803" t="s">
        <v>30</v>
      </c>
      <c r="M803" t="s">
        <v>44</v>
      </c>
      <c r="N803">
        <v>18</v>
      </c>
      <c r="O803">
        <v>3</v>
      </c>
      <c r="P803">
        <v>0</v>
      </c>
      <c r="Q803">
        <v>887.8281622911695</v>
      </c>
      <c r="R803">
        <v>10.73985680190931</v>
      </c>
      <c r="S803">
        <v>82.66666666666667</v>
      </c>
      <c r="T803">
        <v>0</v>
      </c>
      <c r="U803">
        <v>0</v>
      </c>
      <c r="V803">
        <v>0</v>
      </c>
      <c r="W803">
        <v>7.305860032684009</v>
      </c>
      <c r="X803">
        <v>0</v>
      </c>
    </row>
    <row r="804" spans="1:24">
      <c r="A804" t="s">
        <v>2451</v>
      </c>
      <c r="B804" t="s">
        <v>2452</v>
      </c>
      <c r="C804" t="s">
        <v>35</v>
      </c>
      <c r="D804">
        <v>3.077</v>
      </c>
      <c r="E804">
        <v>2109</v>
      </c>
      <c r="F804">
        <v>12</v>
      </c>
      <c r="G804" t="s">
        <v>27</v>
      </c>
      <c r="H804" t="s">
        <v>2453</v>
      </c>
      <c r="I804" t="s">
        <v>29</v>
      </c>
      <c r="J804" t="s">
        <v>30</v>
      </c>
      <c r="K804" t="s">
        <v>30</v>
      </c>
      <c r="L804" t="s">
        <v>30</v>
      </c>
      <c r="M804" t="s">
        <v>97</v>
      </c>
      <c r="N804">
        <v>18</v>
      </c>
      <c r="O804">
        <v>3</v>
      </c>
      <c r="P804">
        <v>0</v>
      </c>
      <c r="Q804">
        <v>685.4078648033799</v>
      </c>
      <c r="R804">
        <v>3.899902502437439</v>
      </c>
      <c r="S804">
        <v>175.75</v>
      </c>
      <c r="T804">
        <v>0</v>
      </c>
      <c r="U804">
        <v>0</v>
      </c>
      <c r="V804">
        <v>0</v>
      </c>
      <c r="W804">
        <v>7.654443226470112</v>
      </c>
      <c r="X804">
        <v>0</v>
      </c>
    </row>
    <row r="805" spans="1:24">
      <c r="A805" t="s">
        <v>2454</v>
      </c>
      <c r="B805" t="s">
        <v>2455</v>
      </c>
      <c r="C805" t="s">
        <v>26</v>
      </c>
      <c r="D805">
        <v>2.311</v>
      </c>
      <c r="E805">
        <v>5716</v>
      </c>
      <c r="F805">
        <v>18</v>
      </c>
      <c r="G805" t="s">
        <v>47</v>
      </c>
      <c r="H805" t="s">
        <v>2456</v>
      </c>
      <c r="I805" t="s">
        <v>29</v>
      </c>
      <c r="J805" t="s">
        <v>31</v>
      </c>
      <c r="K805" t="s">
        <v>30</v>
      </c>
      <c r="L805" t="s">
        <v>38</v>
      </c>
      <c r="M805" t="s">
        <v>39</v>
      </c>
      <c r="N805">
        <v>18</v>
      </c>
      <c r="O805">
        <v>3</v>
      </c>
      <c r="P805">
        <v>0</v>
      </c>
      <c r="Q805">
        <v>2473.388143660753</v>
      </c>
      <c r="R805">
        <v>7.788836001730853</v>
      </c>
      <c r="S805">
        <v>317.5555555555555</v>
      </c>
      <c r="T805">
        <v>0</v>
      </c>
      <c r="U805">
        <v>0</v>
      </c>
      <c r="V805">
        <v>0</v>
      </c>
      <c r="W805">
        <v>8.651199471263972</v>
      </c>
      <c r="X805">
        <v>0</v>
      </c>
    </row>
    <row r="806" spans="1:24">
      <c r="A806" t="s">
        <v>2457</v>
      </c>
      <c r="B806" t="s">
        <v>2458</v>
      </c>
      <c r="C806" t="s">
        <v>26</v>
      </c>
      <c r="D806">
        <v>4.151</v>
      </c>
      <c r="E806">
        <v>512</v>
      </c>
      <c r="F806">
        <v>17</v>
      </c>
      <c r="G806" t="s">
        <v>36</v>
      </c>
      <c r="H806" t="s">
        <v>2459</v>
      </c>
      <c r="I806" t="s">
        <v>29</v>
      </c>
      <c r="J806" t="s">
        <v>38</v>
      </c>
      <c r="K806" t="s">
        <v>38</v>
      </c>
      <c r="L806" t="s">
        <v>30</v>
      </c>
      <c r="M806" t="s">
        <v>44</v>
      </c>
      <c r="N806">
        <v>19</v>
      </c>
      <c r="O806">
        <v>3</v>
      </c>
      <c r="P806">
        <v>0</v>
      </c>
      <c r="Q806">
        <v>123.3437725849193</v>
      </c>
      <c r="R806">
        <v>4.095398699108649</v>
      </c>
      <c r="S806">
        <v>30.11764705882353</v>
      </c>
      <c r="T806">
        <v>0</v>
      </c>
      <c r="U806">
        <v>0</v>
      </c>
      <c r="V806">
        <v>0</v>
      </c>
      <c r="W806">
        <v>6.240275845170769</v>
      </c>
      <c r="X806">
        <v>0</v>
      </c>
    </row>
    <row r="807" spans="1:24">
      <c r="A807" t="s">
        <v>2460</v>
      </c>
      <c r="B807" t="s">
        <v>2461</v>
      </c>
      <c r="C807" t="s">
        <v>26</v>
      </c>
      <c r="D807">
        <v>3.036</v>
      </c>
      <c r="E807">
        <v>8395</v>
      </c>
      <c r="F807">
        <v>26</v>
      </c>
      <c r="G807" t="s">
        <v>27</v>
      </c>
      <c r="H807" t="s">
        <v>2462</v>
      </c>
      <c r="I807" t="s">
        <v>29</v>
      </c>
      <c r="J807" t="s">
        <v>30</v>
      </c>
      <c r="K807" t="s">
        <v>31</v>
      </c>
      <c r="L807" t="s">
        <v>30</v>
      </c>
      <c r="M807" t="s">
        <v>44</v>
      </c>
      <c r="N807">
        <v>19</v>
      </c>
      <c r="O807">
        <v>3</v>
      </c>
      <c r="P807">
        <v>0</v>
      </c>
      <c r="Q807">
        <v>2765.151515151515</v>
      </c>
      <c r="R807">
        <v>8.563899868247693</v>
      </c>
      <c r="S807">
        <v>322.8846153846154</v>
      </c>
      <c r="T807">
        <v>0</v>
      </c>
      <c r="U807">
        <v>0</v>
      </c>
      <c r="V807">
        <v>0</v>
      </c>
      <c r="W807">
        <v>9.035510680940524</v>
      </c>
      <c r="X807">
        <v>0</v>
      </c>
    </row>
    <row r="808" spans="1:24">
      <c r="A808" t="s">
        <v>2463</v>
      </c>
      <c r="B808" t="s">
        <v>2464</v>
      </c>
      <c r="C808" t="s">
        <v>26</v>
      </c>
      <c r="D808">
        <v>0.04</v>
      </c>
      <c r="E808">
        <v>1093</v>
      </c>
      <c r="F808">
        <v>4</v>
      </c>
      <c r="G808" t="s">
        <v>27</v>
      </c>
      <c r="H808" t="s">
        <v>2465</v>
      </c>
      <c r="I808" t="s">
        <v>90</v>
      </c>
      <c r="J808" t="s">
        <v>30</v>
      </c>
      <c r="K808" t="s">
        <v>30</v>
      </c>
      <c r="L808" t="s">
        <v>31</v>
      </c>
      <c r="M808" t="s">
        <v>44</v>
      </c>
      <c r="N808">
        <v>19</v>
      </c>
      <c r="O808">
        <v>3</v>
      </c>
      <c r="P808">
        <v>0</v>
      </c>
      <c r="Q808">
        <v>27325</v>
      </c>
      <c r="R808">
        <v>100</v>
      </c>
      <c r="S808">
        <v>273.25</v>
      </c>
      <c r="T808">
        <v>0</v>
      </c>
      <c r="U808">
        <v>0</v>
      </c>
      <c r="V808">
        <v>0</v>
      </c>
      <c r="W808">
        <v>6.997595982981927</v>
      </c>
      <c r="X808">
        <v>1</v>
      </c>
    </row>
    <row r="809" spans="1:24">
      <c r="A809" t="s">
        <v>2466</v>
      </c>
      <c r="B809" t="s">
        <v>2467</v>
      </c>
      <c r="C809" t="s">
        <v>35</v>
      </c>
      <c r="D809">
        <v>2.134</v>
      </c>
      <c r="E809">
        <v>3709</v>
      </c>
      <c r="F809">
        <v>23</v>
      </c>
      <c r="G809" t="s">
        <v>27</v>
      </c>
      <c r="H809" t="s">
        <v>2468</v>
      </c>
      <c r="I809" t="s">
        <v>29</v>
      </c>
      <c r="J809" t="s">
        <v>30</v>
      </c>
      <c r="K809" t="s">
        <v>30</v>
      </c>
      <c r="L809" t="s">
        <v>31</v>
      </c>
      <c r="M809" t="s">
        <v>97</v>
      </c>
      <c r="N809">
        <v>19</v>
      </c>
      <c r="O809">
        <v>3</v>
      </c>
      <c r="P809">
        <v>0</v>
      </c>
      <c r="Q809">
        <v>1738.05060918463</v>
      </c>
      <c r="R809">
        <v>10.77788191190253</v>
      </c>
      <c r="S809">
        <v>161.2608695652174</v>
      </c>
      <c r="T809">
        <v>0</v>
      </c>
      <c r="U809">
        <v>0</v>
      </c>
      <c r="V809">
        <v>0</v>
      </c>
      <c r="W809">
        <v>8.218787155601481</v>
      </c>
      <c r="X809">
        <v>0</v>
      </c>
    </row>
    <row r="810" spans="1:24">
      <c r="A810" t="s">
        <v>2469</v>
      </c>
      <c r="B810" t="s">
        <v>2470</v>
      </c>
      <c r="C810" t="s">
        <v>35</v>
      </c>
      <c r="D810">
        <v>4.993</v>
      </c>
      <c r="E810">
        <v>1790</v>
      </c>
      <c r="F810">
        <v>14</v>
      </c>
      <c r="G810" t="s">
        <v>47</v>
      </c>
      <c r="H810" t="s">
        <v>2471</v>
      </c>
      <c r="I810" t="s">
        <v>29</v>
      </c>
      <c r="J810" t="s">
        <v>31</v>
      </c>
      <c r="K810" t="s">
        <v>30</v>
      </c>
      <c r="L810" t="s">
        <v>30</v>
      </c>
      <c r="M810" t="s">
        <v>44</v>
      </c>
      <c r="N810">
        <v>19</v>
      </c>
      <c r="O810">
        <v>3</v>
      </c>
      <c r="P810">
        <v>0</v>
      </c>
      <c r="Q810">
        <v>358.5019026637292</v>
      </c>
      <c r="R810">
        <v>2.803925495693971</v>
      </c>
      <c r="S810">
        <v>127.8571428571429</v>
      </c>
      <c r="T810">
        <v>0</v>
      </c>
      <c r="U810">
        <v>0</v>
      </c>
      <c r="V810">
        <v>0</v>
      </c>
      <c r="W810">
        <v>7.490529402060711</v>
      </c>
      <c r="X810">
        <v>0</v>
      </c>
    </row>
    <row r="811" spans="1:24">
      <c r="A811" t="s">
        <v>2472</v>
      </c>
      <c r="B811" t="s">
        <v>2473</v>
      </c>
      <c r="C811" t="s">
        <v>26</v>
      </c>
      <c r="D811">
        <v>3.054</v>
      </c>
      <c r="E811">
        <v>977</v>
      </c>
      <c r="F811">
        <v>13</v>
      </c>
      <c r="G811" t="s">
        <v>27</v>
      </c>
      <c r="H811" t="s">
        <v>2474</v>
      </c>
      <c r="I811" t="s">
        <v>29</v>
      </c>
      <c r="J811" t="s">
        <v>30</v>
      </c>
      <c r="K811" t="s">
        <v>30</v>
      </c>
      <c r="L811" t="s">
        <v>31</v>
      </c>
      <c r="M811" t="s">
        <v>44</v>
      </c>
      <c r="N811">
        <v>19</v>
      </c>
      <c r="O811">
        <v>3</v>
      </c>
      <c r="P811">
        <v>0</v>
      </c>
      <c r="Q811">
        <v>319.9083169613622</v>
      </c>
      <c r="R811">
        <v>4.256712508185986</v>
      </c>
      <c r="S811">
        <v>75.15384615384616</v>
      </c>
      <c r="T811">
        <v>0</v>
      </c>
      <c r="U811">
        <v>0</v>
      </c>
      <c r="V811">
        <v>0</v>
      </c>
      <c r="W811">
        <v>6.885509670034818</v>
      </c>
      <c r="X811">
        <v>0</v>
      </c>
    </row>
    <row r="812" spans="1:24">
      <c r="A812" t="s">
        <v>2475</v>
      </c>
      <c r="B812" t="s">
        <v>2476</v>
      </c>
      <c r="C812" t="s">
        <v>35</v>
      </c>
      <c r="D812">
        <v>2.391</v>
      </c>
      <c r="E812">
        <v>2063</v>
      </c>
      <c r="F812">
        <v>19</v>
      </c>
      <c r="G812" t="s">
        <v>62</v>
      </c>
      <c r="H812" t="s">
        <v>2477</v>
      </c>
      <c r="I812" t="s">
        <v>29</v>
      </c>
      <c r="J812" t="s">
        <v>30</v>
      </c>
      <c r="K812" t="s">
        <v>30</v>
      </c>
      <c r="L812" t="s">
        <v>30</v>
      </c>
      <c r="M812" t="s">
        <v>97</v>
      </c>
      <c r="N812">
        <v>19</v>
      </c>
      <c r="O812">
        <v>3</v>
      </c>
      <c r="P812">
        <v>0</v>
      </c>
      <c r="Q812">
        <v>862.8189042241739</v>
      </c>
      <c r="R812">
        <v>7.94646591384358</v>
      </c>
      <c r="S812">
        <v>108.578947368421</v>
      </c>
      <c r="T812">
        <v>0</v>
      </c>
      <c r="U812">
        <v>0</v>
      </c>
      <c r="V812">
        <v>0</v>
      </c>
      <c r="W812">
        <v>7.632401126601453</v>
      </c>
      <c r="X812">
        <v>0</v>
      </c>
    </row>
    <row r="813" spans="1:24">
      <c r="A813" t="s">
        <v>2478</v>
      </c>
      <c r="B813" t="s">
        <v>2479</v>
      </c>
      <c r="C813" t="s">
        <v>35</v>
      </c>
      <c r="D813">
        <v>5.863</v>
      </c>
      <c r="E813">
        <v>1329</v>
      </c>
      <c r="F813">
        <v>11</v>
      </c>
      <c r="G813" t="s">
        <v>27</v>
      </c>
      <c r="H813" t="s">
        <v>2480</v>
      </c>
      <c r="I813" t="s">
        <v>29</v>
      </c>
      <c r="J813" t="s">
        <v>30</v>
      </c>
      <c r="K813" t="s">
        <v>30</v>
      </c>
      <c r="L813" t="s">
        <v>30</v>
      </c>
      <c r="M813" t="s">
        <v>97</v>
      </c>
      <c r="N813">
        <v>19</v>
      </c>
      <c r="O813">
        <v>3</v>
      </c>
      <c r="P813">
        <v>0</v>
      </c>
      <c r="Q813">
        <v>226.6757632611291</v>
      </c>
      <c r="R813">
        <v>1.876172607879925</v>
      </c>
      <c r="S813">
        <v>120.8181818181818</v>
      </c>
      <c r="T813">
        <v>0</v>
      </c>
      <c r="U813">
        <v>0</v>
      </c>
      <c r="V813">
        <v>0</v>
      </c>
      <c r="W813">
        <v>7.1929342212158</v>
      </c>
      <c r="X813">
        <v>0</v>
      </c>
    </row>
    <row r="814" spans="1:24">
      <c r="A814" t="s">
        <v>2481</v>
      </c>
      <c r="B814" t="s">
        <v>2482</v>
      </c>
      <c r="C814" t="s">
        <v>35</v>
      </c>
      <c r="D814">
        <v>1.949</v>
      </c>
      <c r="E814">
        <v>6834</v>
      </c>
      <c r="F814">
        <v>20</v>
      </c>
      <c r="G814" t="s">
        <v>36</v>
      </c>
      <c r="H814" t="s">
        <v>2483</v>
      </c>
      <c r="I814" t="s">
        <v>29</v>
      </c>
      <c r="J814" t="s">
        <v>38</v>
      </c>
      <c r="K814" t="s">
        <v>30</v>
      </c>
      <c r="L814" t="s">
        <v>30</v>
      </c>
      <c r="M814" t="s">
        <v>83</v>
      </c>
      <c r="N814">
        <v>19</v>
      </c>
      <c r="O814">
        <v>3</v>
      </c>
      <c r="P814">
        <v>0</v>
      </c>
      <c r="Q814">
        <v>3506.413545407901</v>
      </c>
      <c r="R814">
        <v>10.26167265264238</v>
      </c>
      <c r="S814">
        <v>341.7</v>
      </c>
      <c r="T814">
        <v>0</v>
      </c>
      <c r="U814">
        <v>0</v>
      </c>
      <c r="V814">
        <v>0</v>
      </c>
      <c r="W814">
        <v>8.829811749158051</v>
      </c>
      <c r="X814">
        <v>0</v>
      </c>
    </row>
    <row r="815" spans="1:24">
      <c r="A815" t="s">
        <v>2484</v>
      </c>
      <c r="B815" t="s">
        <v>2485</v>
      </c>
      <c r="C815" t="s">
        <v>35</v>
      </c>
      <c r="D815">
        <v>10.156</v>
      </c>
      <c r="E815">
        <v>1080</v>
      </c>
      <c r="F815">
        <v>17</v>
      </c>
      <c r="G815" t="s">
        <v>47</v>
      </c>
      <c r="H815" t="s">
        <v>2486</v>
      </c>
      <c r="I815" t="s">
        <v>29</v>
      </c>
      <c r="J815" t="s">
        <v>31</v>
      </c>
      <c r="K815" t="s">
        <v>30</v>
      </c>
      <c r="L815" t="s">
        <v>31</v>
      </c>
      <c r="M815" t="s">
        <v>44</v>
      </c>
      <c r="N815">
        <v>19</v>
      </c>
      <c r="O815">
        <v>3</v>
      </c>
      <c r="P815">
        <v>0</v>
      </c>
      <c r="Q815">
        <v>106.3410791650256</v>
      </c>
      <c r="R815">
        <v>1.673887357227255</v>
      </c>
      <c r="S815">
        <v>63.52941176470589</v>
      </c>
      <c r="T815">
        <v>0</v>
      </c>
      <c r="U815">
        <v>0</v>
      </c>
      <c r="V815">
        <v>0</v>
      </c>
      <c r="W815">
        <v>6.985641817639208</v>
      </c>
      <c r="X815">
        <v>0</v>
      </c>
    </row>
    <row r="816" spans="1:24">
      <c r="A816" t="s">
        <v>2487</v>
      </c>
      <c r="B816" t="s">
        <v>2488</v>
      </c>
      <c r="C816" t="s">
        <v>35</v>
      </c>
      <c r="D816">
        <v>0.241</v>
      </c>
      <c r="E816">
        <v>2969</v>
      </c>
      <c r="F816">
        <v>20</v>
      </c>
      <c r="G816" t="s">
        <v>36</v>
      </c>
      <c r="H816" t="s">
        <v>2489</v>
      </c>
      <c r="I816" t="s">
        <v>29</v>
      </c>
      <c r="J816" t="s">
        <v>38</v>
      </c>
      <c r="K816" t="s">
        <v>30</v>
      </c>
      <c r="L816" t="s">
        <v>30</v>
      </c>
      <c r="M816" t="s">
        <v>76</v>
      </c>
      <c r="N816">
        <v>19</v>
      </c>
      <c r="O816">
        <v>3</v>
      </c>
      <c r="P816">
        <v>0</v>
      </c>
      <c r="Q816">
        <v>12319.5020746888</v>
      </c>
      <c r="R816">
        <v>82.98755186721992</v>
      </c>
      <c r="S816">
        <v>148.45</v>
      </c>
      <c r="T816">
        <v>0</v>
      </c>
      <c r="U816">
        <v>0</v>
      </c>
      <c r="V816">
        <v>0</v>
      </c>
      <c r="W816">
        <v>7.996317231796746</v>
      </c>
      <c r="X816">
        <v>0</v>
      </c>
    </row>
    <row r="817" spans="1:24">
      <c r="A817" t="s">
        <v>2490</v>
      </c>
      <c r="B817" t="s">
        <v>2491</v>
      </c>
      <c r="C817" t="s">
        <v>35</v>
      </c>
      <c r="D817">
        <v>1.426</v>
      </c>
      <c r="E817">
        <v>2205</v>
      </c>
      <c r="F817">
        <v>22</v>
      </c>
      <c r="G817" t="s">
        <v>47</v>
      </c>
      <c r="H817" t="s">
        <v>2492</v>
      </c>
      <c r="I817" t="s">
        <v>29</v>
      </c>
      <c r="J817" t="s">
        <v>31</v>
      </c>
      <c r="K817" t="s">
        <v>30</v>
      </c>
      <c r="L817" t="s">
        <v>30</v>
      </c>
      <c r="M817" t="s">
        <v>97</v>
      </c>
      <c r="N817">
        <v>19</v>
      </c>
      <c r="O817">
        <v>3</v>
      </c>
      <c r="P817">
        <v>0</v>
      </c>
      <c r="Q817">
        <v>1546.283309957924</v>
      </c>
      <c r="R817">
        <v>15.42776998597476</v>
      </c>
      <c r="S817">
        <v>100.2272727272727</v>
      </c>
      <c r="T817">
        <v>0</v>
      </c>
      <c r="U817">
        <v>0</v>
      </c>
      <c r="V817">
        <v>0</v>
      </c>
      <c r="W817">
        <v>7.698936199813447</v>
      </c>
      <c r="X817">
        <v>0</v>
      </c>
    </row>
    <row r="818" spans="1:24">
      <c r="A818" t="s">
        <v>2493</v>
      </c>
      <c r="B818" t="s">
        <v>2494</v>
      </c>
      <c r="C818" t="s">
        <v>52</v>
      </c>
      <c r="D818">
        <v>0.135</v>
      </c>
      <c r="E818">
        <v>3749</v>
      </c>
      <c r="F818">
        <v>4</v>
      </c>
      <c r="G818" t="s">
        <v>47</v>
      </c>
      <c r="H818" t="s">
        <v>2495</v>
      </c>
      <c r="I818" t="s">
        <v>90</v>
      </c>
      <c r="J818" t="s">
        <v>31</v>
      </c>
      <c r="K818" t="s">
        <v>38</v>
      </c>
      <c r="L818" t="s">
        <v>30</v>
      </c>
      <c r="M818" t="s">
        <v>97</v>
      </c>
      <c r="N818">
        <v>20</v>
      </c>
      <c r="O818">
        <v>3</v>
      </c>
      <c r="P818">
        <v>0</v>
      </c>
      <c r="Q818">
        <v>27770.37037037037</v>
      </c>
      <c r="R818">
        <v>29.62962962962962</v>
      </c>
      <c r="S818">
        <v>937.25</v>
      </c>
      <c r="T818">
        <v>0</v>
      </c>
      <c r="U818">
        <v>0</v>
      </c>
      <c r="V818">
        <v>0</v>
      </c>
      <c r="W818">
        <v>8.229511118964457</v>
      </c>
      <c r="X818">
        <v>1</v>
      </c>
    </row>
    <row r="819" spans="1:24">
      <c r="A819" t="s">
        <v>2496</v>
      </c>
      <c r="B819" t="s">
        <v>2497</v>
      </c>
      <c r="C819" t="s">
        <v>35</v>
      </c>
      <c r="D819">
        <v>2.045</v>
      </c>
      <c r="E819">
        <v>5114</v>
      </c>
      <c r="F819">
        <v>24</v>
      </c>
      <c r="G819" t="s">
        <v>62</v>
      </c>
      <c r="H819" t="s">
        <v>2498</v>
      </c>
      <c r="I819" t="s">
        <v>29</v>
      </c>
      <c r="J819" t="s">
        <v>30</v>
      </c>
      <c r="K819" t="s">
        <v>31</v>
      </c>
      <c r="L819" t="s">
        <v>31</v>
      </c>
      <c r="M819" t="s">
        <v>76</v>
      </c>
      <c r="N819">
        <v>20</v>
      </c>
      <c r="O819">
        <v>3</v>
      </c>
      <c r="P819">
        <v>0</v>
      </c>
      <c r="Q819">
        <v>2500.733496332518</v>
      </c>
      <c r="R819">
        <v>11.7359413202934</v>
      </c>
      <c r="S819">
        <v>213.0833333333333</v>
      </c>
      <c r="T819">
        <v>0</v>
      </c>
      <c r="U819">
        <v>0</v>
      </c>
      <c r="V819">
        <v>0</v>
      </c>
      <c r="W819">
        <v>8.539932678385727</v>
      </c>
      <c r="X819">
        <v>0</v>
      </c>
    </row>
    <row r="820" spans="1:24">
      <c r="A820" t="s">
        <v>2499</v>
      </c>
      <c r="B820" t="s">
        <v>2500</v>
      </c>
      <c r="C820" t="s">
        <v>35</v>
      </c>
      <c r="D820">
        <v>1.083</v>
      </c>
      <c r="E820">
        <v>9434</v>
      </c>
      <c r="F820">
        <v>24</v>
      </c>
      <c r="G820" t="s">
        <v>36</v>
      </c>
      <c r="H820" t="s">
        <v>2501</v>
      </c>
      <c r="I820" t="s">
        <v>29</v>
      </c>
      <c r="J820" t="s">
        <v>38</v>
      </c>
      <c r="K820" t="s">
        <v>31</v>
      </c>
      <c r="L820" t="s">
        <v>38</v>
      </c>
      <c r="M820" t="s">
        <v>97</v>
      </c>
      <c r="N820">
        <v>20</v>
      </c>
      <c r="O820">
        <v>3</v>
      </c>
      <c r="P820">
        <v>0</v>
      </c>
      <c r="Q820">
        <v>8710.987996306556</v>
      </c>
      <c r="R820">
        <v>22.1606648199446</v>
      </c>
      <c r="S820">
        <v>393.0833333333333</v>
      </c>
      <c r="T820">
        <v>0</v>
      </c>
      <c r="U820">
        <v>0</v>
      </c>
      <c r="V820">
        <v>0</v>
      </c>
      <c r="W820">
        <v>9.152181457802651</v>
      </c>
      <c r="X820">
        <v>0</v>
      </c>
    </row>
    <row r="821" spans="1:24">
      <c r="A821" t="s">
        <v>2502</v>
      </c>
      <c r="B821" t="s">
        <v>2503</v>
      </c>
      <c r="C821" t="s">
        <v>35</v>
      </c>
      <c r="D821">
        <v>8.718999999999999</v>
      </c>
      <c r="E821">
        <v>558</v>
      </c>
      <c r="F821">
        <v>15</v>
      </c>
      <c r="G821" t="s">
        <v>36</v>
      </c>
      <c r="H821" t="s">
        <v>2504</v>
      </c>
      <c r="I821" t="s">
        <v>29</v>
      </c>
      <c r="J821" t="s">
        <v>38</v>
      </c>
      <c r="K821" t="s">
        <v>30</v>
      </c>
      <c r="L821" t="s">
        <v>31</v>
      </c>
      <c r="M821" t="s">
        <v>97</v>
      </c>
      <c r="N821">
        <v>20</v>
      </c>
      <c r="O821">
        <v>3</v>
      </c>
      <c r="P821">
        <v>0</v>
      </c>
      <c r="Q821">
        <v>63.99816492717055</v>
      </c>
      <c r="R821">
        <v>1.720380777612112</v>
      </c>
      <c r="S821">
        <v>37.2</v>
      </c>
      <c r="T821">
        <v>0</v>
      </c>
      <c r="U821">
        <v>0</v>
      </c>
      <c r="V821">
        <v>0</v>
      </c>
      <c r="W821">
        <v>6.326149473155099</v>
      </c>
      <c r="X821">
        <v>0</v>
      </c>
    </row>
    <row r="822" spans="1:24">
      <c r="A822" t="s">
        <v>2505</v>
      </c>
      <c r="B822" t="s">
        <v>2506</v>
      </c>
      <c r="C822" t="s">
        <v>35</v>
      </c>
      <c r="D822">
        <v>3.134</v>
      </c>
      <c r="E822">
        <v>1746</v>
      </c>
      <c r="F822">
        <v>15</v>
      </c>
      <c r="G822" t="s">
        <v>47</v>
      </c>
      <c r="H822" t="s">
        <v>2507</v>
      </c>
      <c r="I822" t="s">
        <v>29</v>
      </c>
      <c r="J822" t="s">
        <v>31</v>
      </c>
      <c r="K822" t="s">
        <v>31</v>
      </c>
      <c r="L822" t="s">
        <v>31</v>
      </c>
      <c r="M822" t="s">
        <v>44</v>
      </c>
      <c r="N822">
        <v>20</v>
      </c>
      <c r="O822">
        <v>3</v>
      </c>
      <c r="P822">
        <v>0</v>
      </c>
      <c r="Q822">
        <v>557.1155073388641</v>
      </c>
      <c r="R822">
        <v>4.786215698787492</v>
      </c>
      <c r="S822">
        <v>116.4</v>
      </c>
      <c r="T822">
        <v>0</v>
      </c>
      <c r="U822">
        <v>0</v>
      </c>
      <c r="V822">
        <v>0</v>
      </c>
      <c r="W822">
        <v>7.465655310134056</v>
      </c>
      <c r="X822">
        <v>0</v>
      </c>
    </row>
    <row r="823" spans="1:24">
      <c r="A823" t="s">
        <v>2508</v>
      </c>
      <c r="B823" t="s">
        <v>2509</v>
      </c>
      <c r="C823" t="s">
        <v>26</v>
      </c>
      <c r="D823">
        <v>2.005</v>
      </c>
      <c r="E823">
        <v>1714</v>
      </c>
      <c r="F823">
        <v>12</v>
      </c>
      <c r="G823" t="s">
        <v>27</v>
      </c>
      <c r="H823" t="s">
        <v>2510</v>
      </c>
      <c r="I823" t="s">
        <v>29</v>
      </c>
      <c r="J823" t="s">
        <v>30</v>
      </c>
      <c r="K823" t="s">
        <v>30</v>
      </c>
      <c r="L823" t="s">
        <v>31</v>
      </c>
      <c r="M823" t="s">
        <v>97</v>
      </c>
      <c r="N823">
        <v>20</v>
      </c>
      <c r="O823">
        <v>3</v>
      </c>
      <c r="P823">
        <v>0</v>
      </c>
      <c r="Q823">
        <v>854.8628428927681</v>
      </c>
      <c r="R823">
        <v>5.985037406483791</v>
      </c>
      <c r="S823">
        <v>142.8333333333333</v>
      </c>
      <c r="T823">
        <v>0</v>
      </c>
      <c r="U823">
        <v>0</v>
      </c>
      <c r="V823">
        <v>0</v>
      </c>
      <c r="W823">
        <v>7.44716835960004</v>
      </c>
      <c r="X823">
        <v>0</v>
      </c>
    </row>
    <row r="824" spans="1:24">
      <c r="A824" t="s">
        <v>2511</v>
      </c>
      <c r="B824" t="s">
        <v>2512</v>
      </c>
      <c r="C824" t="s">
        <v>130</v>
      </c>
      <c r="D824">
        <v>1.24</v>
      </c>
      <c r="E824">
        <v>6023</v>
      </c>
      <c r="F824">
        <v>11</v>
      </c>
      <c r="G824" t="s">
        <v>27</v>
      </c>
      <c r="H824" t="s">
        <v>2513</v>
      </c>
      <c r="I824" t="s">
        <v>29</v>
      </c>
      <c r="J824" t="s">
        <v>30</v>
      </c>
      <c r="K824" t="s">
        <v>30</v>
      </c>
      <c r="L824" t="s">
        <v>38</v>
      </c>
      <c r="M824" t="s">
        <v>76</v>
      </c>
      <c r="N824">
        <v>20</v>
      </c>
      <c r="O824">
        <v>3</v>
      </c>
      <c r="P824">
        <v>0</v>
      </c>
      <c r="Q824">
        <v>4857.258064516129</v>
      </c>
      <c r="R824">
        <v>8.870967741935484</v>
      </c>
      <c r="S824">
        <v>547.5454545454545</v>
      </c>
      <c r="T824">
        <v>0</v>
      </c>
      <c r="U824">
        <v>0</v>
      </c>
      <c r="V824">
        <v>0</v>
      </c>
      <c r="W824">
        <v>8.703506769479729</v>
      </c>
      <c r="X824">
        <v>0</v>
      </c>
    </row>
    <row r="825" spans="1:24">
      <c r="A825" t="s">
        <v>2514</v>
      </c>
      <c r="B825" t="s">
        <v>2515</v>
      </c>
      <c r="C825" t="s">
        <v>26</v>
      </c>
      <c r="D825">
        <v>1.542</v>
      </c>
      <c r="E825">
        <v>10565</v>
      </c>
      <c r="F825">
        <v>21</v>
      </c>
      <c r="G825" t="s">
        <v>62</v>
      </c>
      <c r="H825" t="s">
        <v>2516</v>
      </c>
      <c r="I825" t="s">
        <v>29</v>
      </c>
      <c r="J825" t="s">
        <v>30</v>
      </c>
      <c r="K825" t="s">
        <v>30</v>
      </c>
      <c r="L825" t="s">
        <v>30</v>
      </c>
      <c r="M825" t="s">
        <v>76</v>
      </c>
      <c r="N825">
        <v>20</v>
      </c>
      <c r="O825">
        <v>3</v>
      </c>
      <c r="P825">
        <v>0</v>
      </c>
      <c r="Q825">
        <v>6851.491569390402</v>
      </c>
      <c r="R825">
        <v>13.61867704280156</v>
      </c>
      <c r="S825">
        <v>503.0952380952381</v>
      </c>
      <c r="T825">
        <v>0</v>
      </c>
      <c r="U825">
        <v>0</v>
      </c>
      <c r="V825">
        <v>1</v>
      </c>
      <c r="W825">
        <v>9.26539657772426</v>
      </c>
      <c r="X825">
        <v>0</v>
      </c>
    </row>
    <row r="826" spans="1:24">
      <c r="A826" t="s">
        <v>2517</v>
      </c>
      <c r="B826" t="s">
        <v>2518</v>
      </c>
      <c r="C826" t="s">
        <v>35</v>
      </c>
      <c r="D826">
        <v>7.454</v>
      </c>
      <c r="E826">
        <v>5763</v>
      </c>
      <c r="F826">
        <v>15</v>
      </c>
      <c r="G826" t="s">
        <v>62</v>
      </c>
      <c r="H826" t="s">
        <v>2519</v>
      </c>
      <c r="I826" t="s">
        <v>29</v>
      </c>
      <c r="J826" t="s">
        <v>30</v>
      </c>
      <c r="K826" t="s">
        <v>38</v>
      </c>
      <c r="L826" t="s">
        <v>31</v>
      </c>
      <c r="M826" t="s">
        <v>97</v>
      </c>
      <c r="N826">
        <v>20</v>
      </c>
      <c r="O826">
        <v>3</v>
      </c>
      <c r="P826">
        <v>0</v>
      </c>
      <c r="Q826">
        <v>773.1419372149182</v>
      </c>
      <c r="R826">
        <v>2.012342366514623</v>
      </c>
      <c r="S826">
        <v>384.2</v>
      </c>
      <c r="T826">
        <v>0</v>
      </c>
      <c r="U826">
        <v>0</v>
      </c>
      <c r="V826">
        <v>0</v>
      </c>
      <c r="W826">
        <v>8.659386957119413</v>
      </c>
      <c r="X826">
        <v>0</v>
      </c>
    </row>
    <row r="827" spans="1:24">
      <c r="A827" t="s">
        <v>2520</v>
      </c>
      <c r="B827" t="s">
        <v>2521</v>
      </c>
      <c r="C827" t="s">
        <v>35</v>
      </c>
      <c r="D827">
        <v>1.595</v>
      </c>
      <c r="E827">
        <v>11784</v>
      </c>
      <c r="F827">
        <v>17</v>
      </c>
      <c r="G827" t="s">
        <v>36</v>
      </c>
      <c r="H827" t="s">
        <v>2522</v>
      </c>
      <c r="I827" t="s">
        <v>29</v>
      </c>
      <c r="J827" t="s">
        <v>38</v>
      </c>
      <c r="K827" t="s">
        <v>30</v>
      </c>
      <c r="L827" t="s">
        <v>31</v>
      </c>
      <c r="M827" t="s">
        <v>44</v>
      </c>
      <c r="N827">
        <v>20</v>
      </c>
      <c r="O827">
        <v>3</v>
      </c>
      <c r="P827">
        <v>0</v>
      </c>
      <c r="Q827">
        <v>7388.087774294671</v>
      </c>
      <c r="R827">
        <v>10.65830721003135</v>
      </c>
      <c r="S827">
        <v>693.1764705882352</v>
      </c>
      <c r="T827">
        <v>0</v>
      </c>
      <c r="U827">
        <v>0</v>
      </c>
      <c r="V827">
        <v>1</v>
      </c>
      <c r="W827">
        <v>9.374582815370232</v>
      </c>
      <c r="X827">
        <v>0</v>
      </c>
    </row>
    <row r="828" spans="1:24">
      <c r="A828" t="s">
        <v>2523</v>
      </c>
      <c r="B828" t="s">
        <v>2524</v>
      </c>
      <c r="C828" t="s">
        <v>26</v>
      </c>
      <c r="D828">
        <v>1.293</v>
      </c>
      <c r="E828">
        <v>1371</v>
      </c>
      <c r="F828">
        <v>15</v>
      </c>
      <c r="G828" t="s">
        <v>62</v>
      </c>
      <c r="H828" t="s">
        <v>2525</v>
      </c>
      <c r="I828" t="s">
        <v>29</v>
      </c>
      <c r="J828" t="s">
        <v>30</v>
      </c>
      <c r="K828" t="s">
        <v>30</v>
      </c>
      <c r="L828" t="s">
        <v>31</v>
      </c>
      <c r="M828" t="s">
        <v>44</v>
      </c>
      <c r="N828">
        <v>20</v>
      </c>
      <c r="O828">
        <v>3</v>
      </c>
      <c r="P828">
        <v>0</v>
      </c>
      <c r="Q828">
        <v>1060.324825986079</v>
      </c>
      <c r="R828">
        <v>11.60092807424594</v>
      </c>
      <c r="S828">
        <v>91.40000000000001</v>
      </c>
      <c r="T828">
        <v>0</v>
      </c>
      <c r="U828">
        <v>0</v>
      </c>
      <c r="V828">
        <v>0</v>
      </c>
      <c r="W828">
        <v>7.22402480828583</v>
      </c>
      <c r="X828">
        <v>0</v>
      </c>
    </row>
    <row r="829" spans="1:24">
      <c r="A829" t="s">
        <v>2526</v>
      </c>
      <c r="B829" t="s">
        <v>2527</v>
      </c>
      <c r="C829" t="s">
        <v>35</v>
      </c>
      <c r="D829">
        <v>2.823</v>
      </c>
      <c r="E829">
        <v>3067</v>
      </c>
      <c r="F829">
        <v>17</v>
      </c>
      <c r="G829" t="s">
        <v>62</v>
      </c>
      <c r="H829" t="s">
        <v>2528</v>
      </c>
      <c r="I829" t="s">
        <v>29</v>
      </c>
      <c r="J829" t="s">
        <v>30</v>
      </c>
      <c r="K829" t="s">
        <v>38</v>
      </c>
      <c r="L829" t="s">
        <v>30</v>
      </c>
      <c r="M829" t="s">
        <v>44</v>
      </c>
      <c r="N829">
        <v>20</v>
      </c>
      <c r="O829">
        <v>3</v>
      </c>
      <c r="P829">
        <v>0</v>
      </c>
      <c r="Q829">
        <v>1086.432872830322</v>
      </c>
      <c r="R829">
        <v>6.021962451292951</v>
      </c>
      <c r="S829">
        <v>180.4117647058823</v>
      </c>
      <c r="T829">
        <v>0</v>
      </c>
      <c r="U829">
        <v>0</v>
      </c>
      <c r="V829">
        <v>0</v>
      </c>
      <c r="W829">
        <v>8.028781162487148</v>
      </c>
      <c r="X829">
        <v>0</v>
      </c>
    </row>
    <row r="830" spans="1:24">
      <c r="A830" t="s">
        <v>2529</v>
      </c>
      <c r="B830" t="s">
        <v>2530</v>
      </c>
      <c r="C830" t="s">
        <v>35</v>
      </c>
      <c r="D830">
        <v>0.063</v>
      </c>
      <c r="E830">
        <v>1261</v>
      </c>
      <c r="F830">
        <v>4</v>
      </c>
      <c r="G830" t="s">
        <v>36</v>
      </c>
      <c r="H830" t="s">
        <v>2531</v>
      </c>
      <c r="I830" t="s">
        <v>90</v>
      </c>
      <c r="J830" t="s">
        <v>38</v>
      </c>
      <c r="K830" t="s">
        <v>30</v>
      </c>
      <c r="L830" t="s">
        <v>30</v>
      </c>
      <c r="M830" t="s">
        <v>76</v>
      </c>
      <c r="N830">
        <v>21</v>
      </c>
      <c r="O830">
        <v>3</v>
      </c>
      <c r="P830">
        <v>0</v>
      </c>
      <c r="Q830">
        <v>20015.87301587301</v>
      </c>
      <c r="R830">
        <v>63.49206349206349</v>
      </c>
      <c r="S830">
        <v>315.25</v>
      </c>
      <c r="T830">
        <v>0</v>
      </c>
      <c r="U830">
        <v>0</v>
      </c>
      <c r="V830">
        <v>0</v>
      </c>
      <c r="W830">
        <v>7.140453043101158</v>
      </c>
      <c r="X830">
        <v>1</v>
      </c>
    </row>
    <row r="831" spans="1:24">
      <c r="A831" t="s">
        <v>2532</v>
      </c>
      <c r="B831" t="s">
        <v>2533</v>
      </c>
      <c r="C831" t="s">
        <v>35</v>
      </c>
      <c r="D831">
        <v>1.9</v>
      </c>
      <c r="E831">
        <v>6184</v>
      </c>
      <c r="F831">
        <v>18</v>
      </c>
      <c r="G831" t="s">
        <v>36</v>
      </c>
      <c r="H831" t="s">
        <v>2534</v>
      </c>
      <c r="I831" t="s">
        <v>29</v>
      </c>
      <c r="J831" t="s">
        <v>38</v>
      </c>
      <c r="K831" t="s">
        <v>30</v>
      </c>
      <c r="L831" t="s">
        <v>30</v>
      </c>
      <c r="M831" t="s">
        <v>97</v>
      </c>
      <c r="N831">
        <v>21</v>
      </c>
      <c r="O831">
        <v>3</v>
      </c>
      <c r="P831">
        <v>0</v>
      </c>
      <c r="Q831">
        <v>3254.736842105264</v>
      </c>
      <c r="R831">
        <v>9.473684210526317</v>
      </c>
      <c r="S831">
        <v>343.5555555555555</v>
      </c>
      <c r="T831">
        <v>0</v>
      </c>
      <c r="U831">
        <v>0</v>
      </c>
      <c r="V831">
        <v>0</v>
      </c>
      <c r="W831">
        <v>8.729882284826589</v>
      </c>
      <c r="X831">
        <v>0</v>
      </c>
    </row>
    <row r="832" spans="1:24">
      <c r="A832" t="s">
        <v>2535</v>
      </c>
      <c r="B832" t="s">
        <v>2536</v>
      </c>
      <c r="C832" t="s">
        <v>26</v>
      </c>
      <c r="D832">
        <v>3.137</v>
      </c>
      <c r="E832">
        <v>10671</v>
      </c>
      <c r="F832">
        <v>23</v>
      </c>
      <c r="G832" t="s">
        <v>27</v>
      </c>
      <c r="H832" t="s">
        <v>2537</v>
      </c>
      <c r="I832" t="s">
        <v>29</v>
      </c>
      <c r="J832" t="s">
        <v>30</v>
      </c>
      <c r="K832" t="s">
        <v>30</v>
      </c>
      <c r="L832" t="s">
        <v>30</v>
      </c>
      <c r="M832" t="s">
        <v>44</v>
      </c>
      <c r="N832">
        <v>21</v>
      </c>
      <c r="O832">
        <v>3</v>
      </c>
      <c r="P832">
        <v>0</v>
      </c>
      <c r="Q832">
        <v>3401.657634682818</v>
      </c>
      <c r="R832">
        <v>7.331845712464138</v>
      </c>
      <c r="S832">
        <v>463.9565217391304</v>
      </c>
      <c r="T832">
        <v>0</v>
      </c>
      <c r="U832">
        <v>0</v>
      </c>
      <c r="V832">
        <v>1</v>
      </c>
      <c r="W832">
        <v>9.275378768155404</v>
      </c>
      <c r="X832">
        <v>0</v>
      </c>
    </row>
    <row r="833" spans="1:24">
      <c r="A833" t="s">
        <v>2538</v>
      </c>
      <c r="B833" t="s">
        <v>2539</v>
      </c>
      <c r="C833" t="s">
        <v>35</v>
      </c>
      <c r="D833">
        <v>4.231</v>
      </c>
      <c r="E833">
        <v>1666</v>
      </c>
      <c r="F833">
        <v>108</v>
      </c>
      <c r="G833" t="s">
        <v>62</v>
      </c>
      <c r="H833" t="s">
        <v>2540</v>
      </c>
      <c r="I833" t="s">
        <v>49</v>
      </c>
      <c r="J833" t="s">
        <v>30</v>
      </c>
      <c r="K833" t="s">
        <v>30</v>
      </c>
      <c r="L833" t="s">
        <v>30</v>
      </c>
      <c r="M833" t="s">
        <v>32</v>
      </c>
      <c r="N833">
        <v>21</v>
      </c>
      <c r="O833">
        <v>3</v>
      </c>
      <c r="P833">
        <v>0</v>
      </c>
      <c r="Q833">
        <v>393.7603403450721</v>
      </c>
      <c r="R833">
        <v>25.52588040652328</v>
      </c>
      <c r="S833">
        <v>15.42592592592593</v>
      </c>
      <c r="T833">
        <v>0</v>
      </c>
      <c r="U833">
        <v>0</v>
      </c>
      <c r="V833">
        <v>0</v>
      </c>
      <c r="W833">
        <v>7.418780882750794</v>
      </c>
      <c r="X833">
        <v>1</v>
      </c>
    </row>
    <row r="834" spans="1:24">
      <c r="A834" t="s">
        <v>2541</v>
      </c>
      <c r="B834" t="s">
        <v>2542</v>
      </c>
      <c r="C834" t="s">
        <v>35</v>
      </c>
      <c r="D834">
        <v>1.639</v>
      </c>
      <c r="E834">
        <v>10489</v>
      </c>
      <c r="F834">
        <v>17</v>
      </c>
      <c r="G834" t="s">
        <v>27</v>
      </c>
      <c r="H834" t="s">
        <v>2543</v>
      </c>
      <c r="I834" t="s">
        <v>29</v>
      </c>
      <c r="J834" t="s">
        <v>30</v>
      </c>
      <c r="K834" t="s">
        <v>30</v>
      </c>
      <c r="L834" t="s">
        <v>31</v>
      </c>
      <c r="M834" t="s">
        <v>97</v>
      </c>
      <c r="N834">
        <v>21</v>
      </c>
      <c r="O834">
        <v>3</v>
      </c>
      <c r="P834">
        <v>0</v>
      </c>
      <c r="Q834">
        <v>6399.633923123856</v>
      </c>
      <c r="R834">
        <v>10.37217815741306</v>
      </c>
      <c r="S834">
        <v>617</v>
      </c>
      <c r="T834">
        <v>0</v>
      </c>
      <c r="U834">
        <v>0</v>
      </c>
      <c r="V834">
        <v>1</v>
      </c>
      <c r="W834">
        <v>9.258177701390345</v>
      </c>
      <c r="X834">
        <v>0</v>
      </c>
    </row>
    <row r="835" spans="1:24">
      <c r="A835" t="s">
        <v>2544</v>
      </c>
      <c r="B835" t="s">
        <v>2545</v>
      </c>
      <c r="C835" t="s">
        <v>35</v>
      </c>
      <c r="D835">
        <v>3.204</v>
      </c>
      <c r="E835">
        <v>3118</v>
      </c>
      <c r="F835">
        <v>15</v>
      </c>
      <c r="G835" t="s">
        <v>62</v>
      </c>
      <c r="H835" t="s">
        <v>2546</v>
      </c>
      <c r="I835" t="s">
        <v>29</v>
      </c>
      <c r="J835" t="s">
        <v>30</v>
      </c>
      <c r="K835" t="s">
        <v>30</v>
      </c>
      <c r="L835" t="s">
        <v>31</v>
      </c>
      <c r="M835" t="s">
        <v>44</v>
      </c>
      <c r="N835">
        <v>21</v>
      </c>
      <c r="O835">
        <v>3</v>
      </c>
      <c r="P835">
        <v>0</v>
      </c>
      <c r="Q835">
        <v>973.1585518102372</v>
      </c>
      <c r="R835">
        <v>4.681647940074906</v>
      </c>
      <c r="S835">
        <v>207.8666666666667</v>
      </c>
      <c r="T835">
        <v>0</v>
      </c>
      <c r="U835">
        <v>0</v>
      </c>
      <c r="V835">
        <v>0</v>
      </c>
      <c r="W835">
        <v>8.045267716607803</v>
      </c>
      <c r="X835">
        <v>0</v>
      </c>
    </row>
    <row r="836" spans="1:24">
      <c r="A836" t="s">
        <v>2547</v>
      </c>
      <c r="B836" t="s">
        <v>2548</v>
      </c>
      <c r="C836" t="s">
        <v>26</v>
      </c>
      <c r="D836">
        <v>1.048</v>
      </c>
      <c r="E836">
        <v>1757</v>
      </c>
      <c r="F836">
        <v>22</v>
      </c>
      <c r="G836" t="s">
        <v>36</v>
      </c>
      <c r="H836" t="s">
        <v>2549</v>
      </c>
      <c r="I836" t="s">
        <v>43</v>
      </c>
      <c r="J836" t="s">
        <v>38</v>
      </c>
      <c r="K836" t="s">
        <v>30</v>
      </c>
      <c r="L836" t="s">
        <v>30</v>
      </c>
      <c r="M836" t="s">
        <v>97</v>
      </c>
      <c r="N836">
        <v>21</v>
      </c>
      <c r="O836">
        <v>3</v>
      </c>
      <c r="P836">
        <v>0</v>
      </c>
      <c r="Q836">
        <v>1676.526717557252</v>
      </c>
      <c r="R836">
        <v>20.99236641221374</v>
      </c>
      <c r="S836">
        <v>79.86363636363636</v>
      </c>
      <c r="T836">
        <v>0</v>
      </c>
      <c r="U836">
        <v>0</v>
      </c>
      <c r="V836">
        <v>0</v>
      </c>
      <c r="W836">
        <v>7.471932078245122</v>
      </c>
      <c r="X836">
        <v>1</v>
      </c>
    </row>
    <row r="837" spans="1:24">
      <c r="A837" t="s">
        <v>2550</v>
      </c>
      <c r="B837" t="s">
        <v>2551</v>
      </c>
      <c r="C837" t="s">
        <v>26</v>
      </c>
      <c r="D837">
        <v>5.148</v>
      </c>
      <c r="E837">
        <v>4760</v>
      </c>
      <c r="F837">
        <v>18</v>
      </c>
      <c r="G837" t="s">
        <v>36</v>
      </c>
      <c r="H837" t="s">
        <v>2552</v>
      </c>
      <c r="I837" t="s">
        <v>29</v>
      </c>
      <c r="J837" t="s">
        <v>38</v>
      </c>
      <c r="K837" t="s">
        <v>31</v>
      </c>
      <c r="L837" t="s">
        <v>38</v>
      </c>
      <c r="M837" t="s">
        <v>97</v>
      </c>
      <c r="N837">
        <v>21</v>
      </c>
      <c r="O837">
        <v>3</v>
      </c>
      <c r="P837">
        <v>0</v>
      </c>
      <c r="Q837">
        <v>924.6309246309248</v>
      </c>
      <c r="R837">
        <v>3.496503496503497</v>
      </c>
      <c r="S837">
        <v>264.4444444444445</v>
      </c>
      <c r="T837">
        <v>0</v>
      </c>
      <c r="U837">
        <v>0</v>
      </c>
      <c r="V837">
        <v>0</v>
      </c>
      <c r="W837">
        <v>8.468213009194519</v>
      </c>
      <c r="X837">
        <v>0</v>
      </c>
    </row>
    <row r="838" spans="1:24">
      <c r="A838" t="s">
        <v>2553</v>
      </c>
      <c r="B838" t="s">
        <v>2554</v>
      </c>
      <c r="C838" t="s">
        <v>35</v>
      </c>
      <c r="D838">
        <v>4.824</v>
      </c>
      <c r="E838">
        <v>4366</v>
      </c>
      <c r="F838">
        <v>20</v>
      </c>
      <c r="G838" t="s">
        <v>47</v>
      </c>
      <c r="H838" t="s">
        <v>2555</v>
      </c>
      <c r="I838" t="s">
        <v>29</v>
      </c>
      <c r="J838" t="s">
        <v>31</v>
      </c>
      <c r="K838" t="s">
        <v>30</v>
      </c>
      <c r="L838" t="s">
        <v>30</v>
      </c>
      <c r="M838" t="s">
        <v>39</v>
      </c>
      <c r="N838">
        <v>21</v>
      </c>
      <c r="O838">
        <v>3</v>
      </c>
      <c r="P838">
        <v>0</v>
      </c>
      <c r="Q838">
        <v>905.0580431177448</v>
      </c>
      <c r="R838">
        <v>4.145936981757878</v>
      </c>
      <c r="S838">
        <v>218.3</v>
      </c>
      <c r="T838">
        <v>0</v>
      </c>
      <c r="U838">
        <v>0</v>
      </c>
      <c r="V838">
        <v>0</v>
      </c>
      <c r="W838">
        <v>8.381831553485561</v>
      </c>
      <c r="X838">
        <v>0</v>
      </c>
    </row>
    <row r="839" spans="1:24">
      <c r="A839" t="s">
        <v>2556</v>
      </c>
      <c r="B839" t="s">
        <v>2557</v>
      </c>
      <c r="C839" t="s">
        <v>26</v>
      </c>
      <c r="D839">
        <v>1.18</v>
      </c>
      <c r="E839">
        <v>1374</v>
      </c>
      <c r="F839">
        <v>21</v>
      </c>
      <c r="G839" t="s">
        <v>27</v>
      </c>
      <c r="H839" t="s">
        <v>2558</v>
      </c>
      <c r="I839" t="s">
        <v>29</v>
      </c>
      <c r="J839" t="s">
        <v>30</v>
      </c>
      <c r="K839" t="s">
        <v>30</v>
      </c>
      <c r="L839" t="s">
        <v>31</v>
      </c>
      <c r="M839" t="s">
        <v>39</v>
      </c>
      <c r="N839">
        <v>21</v>
      </c>
      <c r="O839">
        <v>3</v>
      </c>
      <c r="P839">
        <v>0</v>
      </c>
      <c r="Q839">
        <v>1164.406779661017</v>
      </c>
      <c r="R839">
        <v>17.79661016949153</v>
      </c>
      <c r="S839">
        <v>65.42857142857143</v>
      </c>
      <c r="T839">
        <v>0</v>
      </c>
      <c r="U839">
        <v>0</v>
      </c>
      <c r="V839">
        <v>0</v>
      </c>
      <c r="W839">
        <v>7.226209010100671</v>
      </c>
      <c r="X839">
        <v>0</v>
      </c>
    </row>
    <row r="840" spans="1:24">
      <c r="A840" t="s">
        <v>2559</v>
      </c>
      <c r="B840" t="s">
        <v>2560</v>
      </c>
      <c r="C840" t="s">
        <v>35</v>
      </c>
      <c r="D840">
        <v>2.778</v>
      </c>
      <c r="E840">
        <v>7517</v>
      </c>
      <c r="F840">
        <v>19</v>
      </c>
      <c r="G840" t="s">
        <v>36</v>
      </c>
      <c r="H840" t="s">
        <v>2561</v>
      </c>
      <c r="I840" t="s">
        <v>29</v>
      </c>
      <c r="J840" t="s">
        <v>38</v>
      </c>
      <c r="K840" t="s">
        <v>30</v>
      </c>
      <c r="L840" t="s">
        <v>31</v>
      </c>
      <c r="M840" t="s">
        <v>97</v>
      </c>
      <c r="N840">
        <v>21</v>
      </c>
      <c r="O840">
        <v>3</v>
      </c>
      <c r="P840">
        <v>0</v>
      </c>
      <c r="Q840">
        <v>2705.903527717783</v>
      </c>
      <c r="R840">
        <v>6.839452843772498</v>
      </c>
      <c r="S840">
        <v>395.6315789473685</v>
      </c>
      <c r="T840">
        <v>0</v>
      </c>
      <c r="U840">
        <v>0</v>
      </c>
      <c r="V840">
        <v>0</v>
      </c>
      <c r="W840">
        <v>8.925055424124123</v>
      </c>
      <c r="X840">
        <v>0</v>
      </c>
    </row>
    <row r="841" spans="1:24">
      <c r="A841" t="s">
        <v>2562</v>
      </c>
      <c r="B841" t="s">
        <v>2563</v>
      </c>
      <c r="C841" t="s">
        <v>35</v>
      </c>
      <c r="D841">
        <v>3.518</v>
      </c>
      <c r="E841">
        <v>1879</v>
      </c>
      <c r="F841">
        <v>17</v>
      </c>
      <c r="G841" t="s">
        <v>62</v>
      </c>
      <c r="H841" t="s">
        <v>2564</v>
      </c>
      <c r="I841" t="s">
        <v>29</v>
      </c>
      <c r="J841" t="s">
        <v>30</v>
      </c>
      <c r="K841" t="s">
        <v>30</v>
      </c>
      <c r="L841" t="s">
        <v>30</v>
      </c>
      <c r="M841" t="s">
        <v>97</v>
      </c>
      <c r="N841">
        <v>21</v>
      </c>
      <c r="O841">
        <v>3</v>
      </c>
      <c r="P841">
        <v>0</v>
      </c>
      <c r="Q841">
        <v>534.1102899374645</v>
      </c>
      <c r="R841">
        <v>4.832291074474133</v>
      </c>
      <c r="S841">
        <v>110.5294117647059</v>
      </c>
      <c r="T841">
        <v>0</v>
      </c>
      <c r="U841">
        <v>0</v>
      </c>
      <c r="V841">
        <v>0</v>
      </c>
      <c r="W841">
        <v>7.539027055823995</v>
      </c>
      <c r="X841">
        <v>0</v>
      </c>
    </row>
    <row r="842" spans="1:24">
      <c r="A842" t="s">
        <v>2565</v>
      </c>
      <c r="B842" t="s">
        <v>2566</v>
      </c>
      <c r="C842" t="s">
        <v>35</v>
      </c>
      <c r="D842">
        <v>4.8</v>
      </c>
      <c r="E842">
        <v>508</v>
      </c>
      <c r="F842">
        <v>18</v>
      </c>
      <c r="G842" t="s">
        <v>47</v>
      </c>
      <c r="H842" t="s">
        <v>2567</v>
      </c>
      <c r="I842" t="s">
        <v>29</v>
      </c>
      <c r="J842" t="s">
        <v>31</v>
      </c>
      <c r="K842" t="s">
        <v>31</v>
      </c>
      <c r="L842" t="s">
        <v>38</v>
      </c>
      <c r="M842" t="s">
        <v>39</v>
      </c>
      <c r="N842">
        <v>22</v>
      </c>
      <c r="O842">
        <v>3</v>
      </c>
      <c r="P842">
        <v>0</v>
      </c>
      <c r="Q842">
        <v>105.8333333333333</v>
      </c>
      <c r="R842">
        <v>3.75</v>
      </c>
      <c r="S842">
        <v>28.22222222222222</v>
      </c>
      <c r="T842">
        <v>0</v>
      </c>
      <c r="U842">
        <v>1</v>
      </c>
      <c r="V842">
        <v>0</v>
      </c>
      <c r="W842">
        <v>6.232448016550522</v>
      </c>
      <c r="X842">
        <v>0</v>
      </c>
    </row>
    <row r="843" spans="1:24">
      <c r="A843" t="s">
        <v>2568</v>
      </c>
      <c r="B843" t="s">
        <v>2569</v>
      </c>
      <c r="C843" t="s">
        <v>130</v>
      </c>
      <c r="D843">
        <v>2.517</v>
      </c>
      <c r="E843">
        <v>367</v>
      </c>
      <c r="F843">
        <v>21</v>
      </c>
      <c r="G843" t="s">
        <v>36</v>
      </c>
      <c r="H843" t="s">
        <v>2570</v>
      </c>
      <c r="I843" t="s">
        <v>29</v>
      </c>
      <c r="J843" t="s">
        <v>38</v>
      </c>
      <c r="K843" t="s">
        <v>30</v>
      </c>
      <c r="L843" t="s">
        <v>31</v>
      </c>
      <c r="M843" t="s">
        <v>44</v>
      </c>
      <c r="N843">
        <v>22</v>
      </c>
      <c r="O843">
        <v>3</v>
      </c>
      <c r="P843">
        <v>0</v>
      </c>
      <c r="Q843">
        <v>145.808502185141</v>
      </c>
      <c r="R843">
        <v>8.34326579261025</v>
      </c>
      <c r="S843">
        <v>17.47619047619047</v>
      </c>
      <c r="T843">
        <v>0</v>
      </c>
      <c r="U843">
        <v>1</v>
      </c>
      <c r="V843">
        <v>0</v>
      </c>
      <c r="W843">
        <v>5.908082938168931</v>
      </c>
      <c r="X843">
        <v>0</v>
      </c>
    </row>
    <row r="844" spans="1:24">
      <c r="A844" t="s">
        <v>2571</v>
      </c>
      <c r="B844" t="s">
        <v>2572</v>
      </c>
      <c r="C844" t="s">
        <v>35</v>
      </c>
      <c r="D844">
        <v>2.168</v>
      </c>
      <c r="E844">
        <v>4594</v>
      </c>
      <c r="F844">
        <v>20</v>
      </c>
      <c r="G844" t="s">
        <v>47</v>
      </c>
      <c r="H844" t="s">
        <v>2573</v>
      </c>
      <c r="I844" t="s">
        <v>29</v>
      </c>
      <c r="J844" t="s">
        <v>31</v>
      </c>
      <c r="K844" t="s">
        <v>30</v>
      </c>
      <c r="L844" t="s">
        <v>30</v>
      </c>
      <c r="M844" t="s">
        <v>44</v>
      </c>
      <c r="N844">
        <v>22</v>
      </c>
      <c r="O844">
        <v>3</v>
      </c>
      <c r="P844">
        <v>0</v>
      </c>
      <c r="Q844">
        <v>2119.0036900369</v>
      </c>
      <c r="R844">
        <v>9.225092250922508</v>
      </c>
      <c r="S844">
        <v>229.7</v>
      </c>
      <c r="T844">
        <v>0</v>
      </c>
      <c r="U844">
        <v>1</v>
      </c>
      <c r="V844">
        <v>0</v>
      </c>
      <c r="W844">
        <v>8.432724034789787</v>
      </c>
      <c r="X844">
        <v>0</v>
      </c>
    </row>
    <row r="845" spans="1:24">
      <c r="A845" t="s">
        <v>2574</v>
      </c>
      <c r="B845" t="s">
        <v>2575</v>
      </c>
      <c r="C845" t="s">
        <v>35</v>
      </c>
      <c r="D845">
        <v>3.148</v>
      </c>
      <c r="E845">
        <v>2253</v>
      </c>
      <c r="F845">
        <v>17</v>
      </c>
      <c r="G845" t="s">
        <v>47</v>
      </c>
      <c r="H845" t="s">
        <v>2576</v>
      </c>
      <c r="I845" t="s">
        <v>29</v>
      </c>
      <c r="J845" t="s">
        <v>31</v>
      </c>
      <c r="K845" t="s">
        <v>30</v>
      </c>
      <c r="L845" t="s">
        <v>31</v>
      </c>
      <c r="M845" t="s">
        <v>44</v>
      </c>
      <c r="N845">
        <v>22</v>
      </c>
      <c r="O845">
        <v>3</v>
      </c>
      <c r="P845">
        <v>0</v>
      </c>
      <c r="Q845">
        <v>715.69250317662</v>
      </c>
      <c r="R845">
        <v>5.400254129606099</v>
      </c>
      <c r="S845">
        <v>132.5294117647059</v>
      </c>
      <c r="T845">
        <v>0</v>
      </c>
      <c r="U845">
        <v>1</v>
      </c>
      <c r="V845">
        <v>0</v>
      </c>
      <c r="W845">
        <v>7.720461694599722</v>
      </c>
      <c r="X845">
        <v>0</v>
      </c>
    </row>
    <row r="846" spans="1:24">
      <c r="A846" t="s">
        <v>2577</v>
      </c>
      <c r="B846" t="s">
        <v>2578</v>
      </c>
      <c r="C846" t="s">
        <v>35</v>
      </c>
      <c r="D846">
        <v>3.31</v>
      </c>
      <c r="E846">
        <v>8330</v>
      </c>
      <c r="F846">
        <v>13</v>
      </c>
      <c r="G846" t="s">
        <v>62</v>
      </c>
      <c r="H846" t="s">
        <v>2579</v>
      </c>
      <c r="I846" t="s">
        <v>29</v>
      </c>
      <c r="J846" t="s">
        <v>30</v>
      </c>
      <c r="K846" t="s">
        <v>30</v>
      </c>
      <c r="L846" t="s">
        <v>31</v>
      </c>
      <c r="M846" t="s">
        <v>97</v>
      </c>
      <c r="N846">
        <v>22</v>
      </c>
      <c r="O846">
        <v>3</v>
      </c>
      <c r="P846">
        <v>0</v>
      </c>
      <c r="Q846">
        <v>2516.616314199396</v>
      </c>
      <c r="R846">
        <v>3.927492447129909</v>
      </c>
      <c r="S846">
        <v>640.7692307692307</v>
      </c>
      <c r="T846">
        <v>0</v>
      </c>
      <c r="U846">
        <v>1</v>
      </c>
      <c r="V846">
        <v>0</v>
      </c>
      <c r="W846">
        <v>9.027738775974909</v>
      </c>
      <c r="X846">
        <v>0</v>
      </c>
    </row>
    <row r="847" spans="1:24">
      <c r="A847" t="s">
        <v>2580</v>
      </c>
      <c r="B847" t="s">
        <v>2581</v>
      </c>
      <c r="C847" t="s">
        <v>52</v>
      </c>
      <c r="D847">
        <v>4.873</v>
      </c>
      <c r="E847">
        <v>2744</v>
      </c>
      <c r="F847">
        <v>17</v>
      </c>
      <c r="G847" t="s">
        <v>36</v>
      </c>
      <c r="H847" t="s">
        <v>2582</v>
      </c>
      <c r="I847" t="s">
        <v>29</v>
      </c>
      <c r="J847" t="s">
        <v>38</v>
      </c>
      <c r="K847" t="s">
        <v>31</v>
      </c>
      <c r="L847" t="s">
        <v>30</v>
      </c>
      <c r="M847" t="s">
        <v>76</v>
      </c>
      <c r="N847">
        <v>22</v>
      </c>
      <c r="O847">
        <v>3</v>
      </c>
      <c r="P847">
        <v>0</v>
      </c>
      <c r="Q847">
        <v>563.1028114098091</v>
      </c>
      <c r="R847">
        <v>3.48861071208701</v>
      </c>
      <c r="S847">
        <v>161.4117647058823</v>
      </c>
      <c r="T847">
        <v>0</v>
      </c>
      <c r="U847">
        <v>1</v>
      </c>
      <c r="V847">
        <v>0</v>
      </c>
      <c r="W847">
        <v>7.917536353943631</v>
      </c>
      <c r="X847">
        <v>0</v>
      </c>
    </row>
    <row r="848" spans="1:24">
      <c r="A848" t="s">
        <v>2583</v>
      </c>
      <c r="B848" t="s">
        <v>2584</v>
      </c>
      <c r="C848" t="s">
        <v>26</v>
      </c>
      <c r="D848">
        <v>3.632</v>
      </c>
      <c r="E848">
        <v>1542</v>
      </c>
      <c r="F848">
        <v>24</v>
      </c>
      <c r="G848" t="s">
        <v>62</v>
      </c>
      <c r="H848" t="s">
        <v>2585</v>
      </c>
      <c r="I848" t="s">
        <v>29</v>
      </c>
      <c r="J848" t="s">
        <v>30</v>
      </c>
      <c r="K848" t="s">
        <v>30</v>
      </c>
      <c r="L848" t="s">
        <v>31</v>
      </c>
      <c r="M848" t="s">
        <v>83</v>
      </c>
      <c r="N848">
        <v>22</v>
      </c>
      <c r="O848">
        <v>3</v>
      </c>
      <c r="P848">
        <v>0</v>
      </c>
      <c r="Q848">
        <v>424.5594713656387</v>
      </c>
      <c r="R848">
        <v>6.607929515418502</v>
      </c>
      <c r="S848">
        <v>64.25</v>
      </c>
      <c r="T848">
        <v>0</v>
      </c>
      <c r="U848">
        <v>1</v>
      </c>
      <c r="V848">
        <v>0</v>
      </c>
      <c r="W848">
        <v>7.341483852363161</v>
      </c>
      <c r="X848">
        <v>0</v>
      </c>
    </row>
    <row r="849" spans="1:24">
      <c r="A849" t="s">
        <v>2586</v>
      </c>
      <c r="B849" t="s">
        <v>2587</v>
      </c>
      <c r="C849" t="s">
        <v>35</v>
      </c>
      <c r="D849">
        <v>3.919</v>
      </c>
      <c r="E849">
        <v>1938</v>
      </c>
      <c r="F849">
        <v>13</v>
      </c>
      <c r="G849" t="s">
        <v>47</v>
      </c>
      <c r="H849" t="s">
        <v>2588</v>
      </c>
      <c r="I849" t="s">
        <v>29</v>
      </c>
      <c r="J849" t="s">
        <v>31</v>
      </c>
      <c r="K849" t="s">
        <v>31</v>
      </c>
      <c r="L849" t="s">
        <v>31</v>
      </c>
      <c r="M849" t="s">
        <v>83</v>
      </c>
      <c r="N849">
        <v>22</v>
      </c>
      <c r="O849">
        <v>3</v>
      </c>
      <c r="P849">
        <v>0</v>
      </c>
      <c r="Q849">
        <v>494.5139066088288</v>
      </c>
      <c r="R849">
        <v>3.317172748150038</v>
      </c>
      <c r="S849">
        <v>149.0769230769231</v>
      </c>
      <c r="T849">
        <v>0</v>
      </c>
      <c r="U849">
        <v>1</v>
      </c>
      <c r="V849">
        <v>0</v>
      </c>
      <c r="W849">
        <v>7.569927655242652</v>
      </c>
      <c r="X849">
        <v>0</v>
      </c>
    </row>
    <row r="850" spans="1:24">
      <c r="A850" t="s">
        <v>2589</v>
      </c>
      <c r="B850" t="s">
        <v>2590</v>
      </c>
      <c r="C850" t="s">
        <v>35</v>
      </c>
      <c r="D850">
        <v>3.924</v>
      </c>
      <c r="E850">
        <v>1489</v>
      </c>
      <c r="F850">
        <v>14</v>
      </c>
      <c r="G850" t="s">
        <v>36</v>
      </c>
      <c r="H850" t="s">
        <v>2591</v>
      </c>
      <c r="I850" t="s">
        <v>29</v>
      </c>
      <c r="J850" t="s">
        <v>38</v>
      </c>
      <c r="K850" t="s">
        <v>30</v>
      </c>
      <c r="L850" t="s">
        <v>30</v>
      </c>
      <c r="M850" t="s">
        <v>97</v>
      </c>
      <c r="N850">
        <v>22</v>
      </c>
      <c r="O850">
        <v>3</v>
      </c>
      <c r="P850">
        <v>0</v>
      </c>
      <c r="Q850">
        <v>379.4597349643221</v>
      </c>
      <c r="R850">
        <v>3.567787971457696</v>
      </c>
      <c r="S850">
        <v>106.3571428571429</v>
      </c>
      <c r="T850">
        <v>0</v>
      </c>
      <c r="U850">
        <v>1</v>
      </c>
      <c r="V850">
        <v>0</v>
      </c>
      <c r="W850">
        <v>7.306531398939505</v>
      </c>
      <c r="X850">
        <v>0</v>
      </c>
    </row>
    <row r="851" spans="1:24">
      <c r="A851" t="s">
        <v>2592</v>
      </c>
      <c r="B851" t="s">
        <v>2593</v>
      </c>
      <c r="C851" t="s">
        <v>35</v>
      </c>
      <c r="D851">
        <v>0.898</v>
      </c>
      <c r="E851">
        <v>689</v>
      </c>
      <c r="F851">
        <v>13</v>
      </c>
      <c r="G851" t="s">
        <v>62</v>
      </c>
      <c r="H851" t="s">
        <v>2594</v>
      </c>
      <c r="I851" t="s">
        <v>29</v>
      </c>
      <c r="J851" t="s">
        <v>30</v>
      </c>
      <c r="K851" t="s">
        <v>30</v>
      </c>
      <c r="L851" t="s">
        <v>31</v>
      </c>
      <c r="M851" t="s">
        <v>39</v>
      </c>
      <c r="N851">
        <v>22</v>
      </c>
      <c r="O851">
        <v>3</v>
      </c>
      <c r="P851">
        <v>0</v>
      </c>
      <c r="Q851">
        <v>767.260579064588</v>
      </c>
      <c r="R851">
        <v>14.47661469933185</v>
      </c>
      <c r="S851">
        <v>53</v>
      </c>
      <c r="T851">
        <v>0</v>
      </c>
      <c r="U851">
        <v>1</v>
      </c>
      <c r="V851">
        <v>0</v>
      </c>
      <c r="W851">
        <v>6.536691597591305</v>
      </c>
      <c r="X851">
        <v>0</v>
      </c>
    </row>
    <row r="852" spans="1:24">
      <c r="A852" t="s">
        <v>2595</v>
      </c>
      <c r="B852" t="s">
        <v>2596</v>
      </c>
      <c r="C852" t="s">
        <v>130</v>
      </c>
      <c r="D852">
        <v>2.113</v>
      </c>
      <c r="E852">
        <v>700</v>
      </c>
      <c r="F852">
        <v>14</v>
      </c>
      <c r="G852" t="s">
        <v>27</v>
      </c>
      <c r="H852" t="s">
        <v>2597</v>
      </c>
      <c r="I852" t="s">
        <v>29</v>
      </c>
      <c r="J852" t="s">
        <v>30</v>
      </c>
      <c r="K852" t="s">
        <v>38</v>
      </c>
      <c r="L852" t="s">
        <v>30</v>
      </c>
      <c r="M852" t="s">
        <v>44</v>
      </c>
      <c r="N852">
        <v>22</v>
      </c>
      <c r="O852">
        <v>3</v>
      </c>
      <c r="P852">
        <v>0</v>
      </c>
      <c r="Q852">
        <v>331.2825366777094</v>
      </c>
      <c r="R852">
        <v>6.625650733554188</v>
      </c>
      <c r="S852">
        <v>50</v>
      </c>
      <c r="T852">
        <v>0</v>
      </c>
      <c r="U852">
        <v>1</v>
      </c>
      <c r="V852">
        <v>0</v>
      </c>
      <c r="W852">
        <v>6.55250788703459</v>
      </c>
      <c r="X852">
        <v>0</v>
      </c>
    </row>
    <row r="853" spans="1:24">
      <c r="A853" t="s">
        <v>2598</v>
      </c>
      <c r="B853" t="s">
        <v>2599</v>
      </c>
      <c r="C853" t="s">
        <v>35</v>
      </c>
      <c r="D853">
        <v>1.875</v>
      </c>
      <c r="E853">
        <v>4037</v>
      </c>
      <c r="F853">
        <v>18</v>
      </c>
      <c r="G853" t="s">
        <v>62</v>
      </c>
      <c r="H853" t="s">
        <v>2600</v>
      </c>
      <c r="I853" t="s">
        <v>29</v>
      </c>
      <c r="J853" t="s">
        <v>30</v>
      </c>
      <c r="K853" t="s">
        <v>38</v>
      </c>
      <c r="L853" t="s">
        <v>31</v>
      </c>
      <c r="M853" t="s">
        <v>97</v>
      </c>
      <c r="N853">
        <v>22</v>
      </c>
      <c r="O853">
        <v>3</v>
      </c>
      <c r="P853">
        <v>0</v>
      </c>
      <c r="Q853">
        <v>2153.066666666667</v>
      </c>
      <c r="R853">
        <v>9.6</v>
      </c>
      <c r="S853">
        <v>224.2777777777778</v>
      </c>
      <c r="T853">
        <v>0</v>
      </c>
      <c r="U853">
        <v>1</v>
      </c>
      <c r="V853">
        <v>0</v>
      </c>
      <c r="W853">
        <v>8.303504798872783</v>
      </c>
      <c r="X853">
        <v>0</v>
      </c>
    </row>
    <row r="854" spans="1:24">
      <c r="A854" t="s">
        <v>2601</v>
      </c>
      <c r="B854" t="s">
        <v>2602</v>
      </c>
      <c r="C854" t="s">
        <v>35</v>
      </c>
      <c r="D854">
        <v>1.579</v>
      </c>
      <c r="E854">
        <v>764</v>
      </c>
      <c r="F854">
        <v>12</v>
      </c>
      <c r="G854" t="s">
        <v>27</v>
      </c>
      <c r="H854" t="s">
        <v>2603</v>
      </c>
      <c r="I854" t="s">
        <v>29</v>
      </c>
      <c r="J854" t="s">
        <v>30</v>
      </c>
      <c r="K854" t="s">
        <v>38</v>
      </c>
      <c r="L854" t="s">
        <v>30</v>
      </c>
      <c r="M854" t="s">
        <v>97</v>
      </c>
      <c r="N854">
        <v>23</v>
      </c>
      <c r="O854">
        <v>3</v>
      </c>
      <c r="P854">
        <v>0</v>
      </c>
      <c r="Q854">
        <v>483.8505383153895</v>
      </c>
      <c r="R854">
        <v>7.59974667511083</v>
      </c>
      <c r="S854">
        <v>63.66666666666666</v>
      </c>
      <c r="T854">
        <v>0</v>
      </c>
      <c r="U854">
        <v>1</v>
      </c>
      <c r="V854">
        <v>0</v>
      </c>
      <c r="W854">
        <v>6.639875833826536</v>
      </c>
      <c r="X854">
        <v>0</v>
      </c>
    </row>
    <row r="855" spans="1:24">
      <c r="A855" t="s">
        <v>2604</v>
      </c>
      <c r="B855" t="s">
        <v>2605</v>
      </c>
      <c r="C855" t="s">
        <v>35</v>
      </c>
      <c r="D855">
        <v>2.955</v>
      </c>
      <c r="E855">
        <v>2213</v>
      </c>
      <c r="F855">
        <v>21</v>
      </c>
      <c r="G855" t="s">
        <v>47</v>
      </c>
      <c r="H855" t="s">
        <v>2606</v>
      </c>
      <c r="I855" t="s">
        <v>29</v>
      </c>
      <c r="J855" t="s">
        <v>31</v>
      </c>
      <c r="K855" t="s">
        <v>30</v>
      </c>
      <c r="L855" t="s">
        <v>30</v>
      </c>
      <c r="M855" t="s">
        <v>76</v>
      </c>
      <c r="N855">
        <v>23</v>
      </c>
      <c r="O855">
        <v>3</v>
      </c>
      <c r="P855">
        <v>0</v>
      </c>
      <c r="Q855">
        <v>748.9001692047377</v>
      </c>
      <c r="R855">
        <v>7.106598984771574</v>
      </c>
      <c r="S855">
        <v>105.3809523809524</v>
      </c>
      <c r="T855">
        <v>0</v>
      </c>
      <c r="U855">
        <v>1</v>
      </c>
      <c r="V855">
        <v>0</v>
      </c>
      <c r="W855">
        <v>7.702556113268582</v>
      </c>
      <c r="X855">
        <v>0</v>
      </c>
    </row>
    <row r="856" spans="1:24">
      <c r="A856" t="s">
        <v>2607</v>
      </c>
      <c r="B856" t="s">
        <v>2608</v>
      </c>
      <c r="C856" t="s">
        <v>26</v>
      </c>
      <c r="D856">
        <v>1.376</v>
      </c>
      <c r="E856">
        <v>1680</v>
      </c>
      <c r="F856">
        <v>19</v>
      </c>
      <c r="G856" t="s">
        <v>36</v>
      </c>
      <c r="H856" t="s">
        <v>2609</v>
      </c>
      <c r="I856" t="s">
        <v>29</v>
      </c>
      <c r="J856" t="s">
        <v>38</v>
      </c>
      <c r="K856" t="s">
        <v>30</v>
      </c>
      <c r="L856" t="s">
        <v>31</v>
      </c>
      <c r="M856" t="s">
        <v>39</v>
      </c>
      <c r="N856">
        <v>23</v>
      </c>
      <c r="O856">
        <v>3</v>
      </c>
      <c r="P856">
        <v>0</v>
      </c>
      <c r="Q856">
        <v>1220.93023255814</v>
      </c>
      <c r="R856">
        <v>13.80813953488372</v>
      </c>
      <c r="S856">
        <v>88.42105263157895</v>
      </c>
      <c r="T856">
        <v>0</v>
      </c>
      <c r="U856">
        <v>1</v>
      </c>
      <c r="V856">
        <v>0</v>
      </c>
      <c r="W856">
        <v>7.427144133408616</v>
      </c>
      <c r="X856">
        <v>0</v>
      </c>
    </row>
    <row r="857" spans="1:24">
      <c r="A857" t="s">
        <v>2610</v>
      </c>
      <c r="B857" t="s">
        <v>2611</v>
      </c>
      <c r="C857" t="s">
        <v>35</v>
      </c>
      <c r="D857">
        <v>2.666</v>
      </c>
      <c r="E857">
        <v>8052</v>
      </c>
      <c r="F857">
        <v>19</v>
      </c>
      <c r="G857" t="s">
        <v>27</v>
      </c>
      <c r="H857" t="s">
        <v>2612</v>
      </c>
      <c r="I857" t="s">
        <v>29</v>
      </c>
      <c r="J857" t="s">
        <v>30</v>
      </c>
      <c r="K857" t="s">
        <v>30</v>
      </c>
      <c r="L857" t="s">
        <v>38</v>
      </c>
      <c r="M857" t="s">
        <v>44</v>
      </c>
      <c r="N857">
        <v>23</v>
      </c>
      <c r="O857">
        <v>3</v>
      </c>
      <c r="P857">
        <v>0</v>
      </c>
      <c r="Q857">
        <v>3020.255063765941</v>
      </c>
      <c r="R857">
        <v>7.126781695423857</v>
      </c>
      <c r="S857">
        <v>423.7894736842105</v>
      </c>
      <c r="T857">
        <v>0</v>
      </c>
      <c r="U857">
        <v>1</v>
      </c>
      <c r="V857">
        <v>0</v>
      </c>
      <c r="W857">
        <v>8.993799971795545</v>
      </c>
      <c r="X857">
        <v>0</v>
      </c>
    </row>
    <row r="858" spans="1:24">
      <c r="A858" t="s">
        <v>2613</v>
      </c>
      <c r="B858" t="s">
        <v>2614</v>
      </c>
      <c r="C858" t="s">
        <v>35</v>
      </c>
      <c r="D858">
        <v>0.901</v>
      </c>
      <c r="E858">
        <v>1339</v>
      </c>
      <c r="F858">
        <v>18</v>
      </c>
      <c r="G858" t="s">
        <v>27</v>
      </c>
      <c r="H858" t="s">
        <v>2615</v>
      </c>
      <c r="I858" t="s">
        <v>29</v>
      </c>
      <c r="J858" t="s">
        <v>30</v>
      </c>
      <c r="K858" t="s">
        <v>31</v>
      </c>
      <c r="L858" t="s">
        <v>30</v>
      </c>
      <c r="M858" t="s">
        <v>76</v>
      </c>
      <c r="N858">
        <v>23</v>
      </c>
      <c r="O858">
        <v>3</v>
      </c>
      <c r="P858">
        <v>0</v>
      </c>
      <c r="Q858">
        <v>1486.126526082131</v>
      </c>
      <c r="R858">
        <v>19.97780244173141</v>
      </c>
      <c r="S858">
        <v>74.38888888888889</v>
      </c>
      <c r="T858">
        <v>0</v>
      </c>
      <c r="U858">
        <v>1</v>
      </c>
      <c r="V858">
        <v>0</v>
      </c>
      <c r="W858">
        <v>7.200424892944957</v>
      </c>
      <c r="X858">
        <v>0</v>
      </c>
    </row>
    <row r="859" spans="1:24">
      <c r="A859" t="s">
        <v>2616</v>
      </c>
      <c r="B859" t="s">
        <v>2617</v>
      </c>
      <c r="C859" t="s">
        <v>35</v>
      </c>
      <c r="D859">
        <v>3.208</v>
      </c>
      <c r="E859">
        <v>8722</v>
      </c>
      <c r="F859">
        <v>15</v>
      </c>
      <c r="G859" t="s">
        <v>47</v>
      </c>
      <c r="H859" t="s">
        <v>2618</v>
      </c>
      <c r="I859" t="s">
        <v>29</v>
      </c>
      <c r="J859" t="s">
        <v>31</v>
      </c>
      <c r="K859" t="s">
        <v>30</v>
      </c>
      <c r="L859" t="s">
        <v>30</v>
      </c>
      <c r="M859" t="s">
        <v>97</v>
      </c>
      <c r="N859">
        <v>23</v>
      </c>
      <c r="O859">
        <v>3</v>
      </c>
      <c r="P859">
        <v>0</v>
      </c>
      <c r="Q859">
        <v>2718.827930174564</v>
      </c>
      <c r="R859">
        <v>4.675810473815461</v>
      </c>
      <c r="S859">
        <v>581.4666666666667</v>
      </c>
      <c r="T859">
        <v>0</v>
      </c>
      <c r="U859">
        <v>1</v>
      </c>
      <c r="V859">
        <v>0</v>
      </c>
      <c r="W859">
        <v>9.073718494433219</v>
      </c>
      <c r="X859">
        <v>0</v>
      </c>
    </row>
    <row r="860" spans="1:24">
      <c r="A860" t="s">
        <v>2619</v>
      </c>
      <c r="B860" t="s">
        <v>2620</v>
      </c>
      <c r="C860" t="s">
        <v>35</v>
      </c>
      <c r="D860">
        <v>2.93</v>
      </c>
      <c r="E860">
        <v>1536</v>
      </c>
      <c r="F860">
        <v>19</v>
      </c>
      <c r="G860" t="s">
        <v>27</v>
      </c>
      <c r="H860" t="s">
        <v>2621</v>
      </c>
      <c r="I860" t="s">
        <v>29</v>
      </c>
      <c r="J860" t="s">
        <v>30</v>
      </c>
      <c r="K860" t="s">
        <v>30</v>
      </c>
      <c r="L860" t="s">
        <v>31</v>
      </c>
      <c r="M860" t="s">
        <v>39</v>
      </c>
      <c r="N860">
        <v>23</v>
      </c>
      <c r="O860">
        <v>3</v>
      </c>
      <c r="P860">
        <v>0</v>
      </c>
      <c r="Q860">
        <v>524.2320819112628</v>
      </c>
      <c r="R860">
        <v>6.484641638225256</v>
      </c>
      <c r="S860">
        <v>80.84210526315789</v>
      </c>
      <c r="T860">
        <v>0</v>
      </c>
      <c r="U860">
        <v>1</v>
      </c>
      <c r="V860">
        <v>0</v>
      </c>
      <c r="W860">
        <v>7.337587743538596</v>
      </c>
      <c r="X860">
        <v>0</v>
      </c>
    </row>
    <row r="861" spans="1:24">
      <c r="A861" t="s">
        <v>2622</v>
      </c>
      <c r="B861" t="s">
        <v>2623</v>
      </c>
      <c r="C861" t="s">
        <v>35</v>
      </c>
      <c r="D861">
        <v>1.451</v>
      </c>
      <c r="E861">
        <v>2049</v>
      </c>
      <c r="F861">
        <v>17</v>
      </c>
      <c r="G861" t="s">
        <v>47</v>
      </c>
      <c r="H861" t="s">
        <v>2624</v>
      </c>
      <c r="I861" t="s">
        <v>29</v>
      </c>
      <c r="J861" t="s">
        <v>31</v>
      </c>
      <c r="K861" t="s">
        <v>30</v>
      </c>
      <c r="L861" t="s">
        <v>30</v>
      </c>
      <c r="M861" t="s">
        <v>44</v>
      </c>
      <c r="N861">
        <v>23</v>
      </c>
      <c r="O861">
        <v>3</v>
      </c>
      <c r="P861">
        <v>0</v>
      </c>
      <c r="Q861">
        <v>1412.129565816678</v>
      </c>
      <c r="R861">
        <v>11.71605789110958</v>
      </c>
      <c r="S861">
        <v>120.5294117647059</v>
      </c>
      <c r="T861">
        <v>0</v>
      </c>
      <c r="U861">
        <v>1</v>
      </c>
      <c r="V861">
        <v>0</v>
      </c>
      <c r="W861">
        <v>7.625595072132453</v>
      </c>
      <c r="X861">
        <v>0</v>
      </c>
    </row>
    <row r="862" spans="1:24">
      <c r="A862" t="s">
        <v>2625</v>
      </c>
      <c r="B862" t="s">
        <v>2626</v>
      </c>
      <c r="C862" t="s">
        <v>52</v>
      </c>
      <c r="D862">
        <v>5.777</v>
      </c>
      <c r="E862">
        <v>8098</v>
      </c>
      <c r="F862">
        <v>26</v>
      </c>
      <c r="G862" t="s">
        <v>36</v>
      </c>
      <c r="H862" t="s">
        <v>2627</v>
      </c>
      <c r="I862" t="s">
        <v>29</v>
      </c>
      <c r="J862" t="s">
        <v>38</v>
      </c>
      <c r="K862" t="s">
        <v>30</v>
      </c>
      <c r="L862" t="s">
        <v>38</v>
      </c>
      <c r="M862" t="s">
        <v>97</v>
      </c>
      <c r="N862">
        <v>23</v>
      </c>
      <c r="O862">
        <v>3</v>
      </c>
      <c r="P862">
        <v>0</v>
      </c>
      <c r="Q862">
        <v>1401.765622295309</v>
      </c>
      <c r="R862">
        <v>4.500605850787606</v>
      </c>
      <c r="S862">
        <v>311.4615384615385</v>
      </c>
      <c r="T862">
        <v>0</v>
      </c>
      <c r="U862">
        <v>1</v>
      </c>
      <c r="V862">
        <v>0</v>
      </c>
      <c r="W862">
        <v>8.999495876248989</v>
      </c>
      <c r="X862">
        <v>0</v>
      </c>
    </row>
    <row r="863" spans="1:24">
      <c r="A863" t="s">
        <v>2628</v>
      </c>
      <c r="B863" t="s">
        <v>2629</v>
      </c>
      <c r="C863" t="s">
        <v>26</v>
      </c>
      <c r="D863">
        <v>0.994</v>
      </c>
      <c r="E863">
        <v>2323</v>
      </c>
      <c r="F863">
        <v>20</v>
      </c>
      <c r="G863" t="s">
        <v>36</v>
      </c>
      <c r="H863" t="s">
        <v>2630</v>
      </c>
      <c r="I863" t="s">
        <v>29</v>
      </c>
      <c r="J863" t="s">
        <v>38</v>
      </c>
      <c r="K863" t="s">
        <v>31</v>
      </c>
      <c r="L863" t="s">
        <v>31</v>
      </c>
      <c r="M863" t="s">
        <v>83</v>
      </c>
      <c r="N863">
        <v>23</v>
      </c>
      <c r="O863">
        <v>3</v>
      </c>
      <c r="P863">
        <v>0</v>
      </c>
      <c r="Q863">
        <v>2337.022132796781</v>
      </c>
      <c r="R863">
        <v>20.12072434607646</v>
      </c>
      <c r="S863">
        <v>116.15</v>
      </c>
      <c r="T863">
        <v>0</v>
      </c>
      <c r="U863">
        <v>1</v>
      </c>
      <c r="V863">
        <v>0</v>
      </c>
      <c r="W863">
        <v>7.751045117971802</v>
      </c>
      <c r="X863">
        <v>0</v>
      </c>
    </row>
    <row r="864" spans="1:24">
      <c r="A864" t="s">
        <v>2631</v>
      </c>
      <c r="B864" t="s">
        <v>2632</v>
      </c>
      <c r="C864" t="s">
        <v>26</v>
      </c>
      <c r="D864">
        <v>4.632</v>
      </c>
      <c r="E864">
        <v>2401</v>
      </c>
      <c r="F864">
        <v>22</v>
      </c>
      <c r="G864" t="s">
        <v>62</v>
      </c>
      <c r="H864" t="s">
        <v>2633</v>
      </c>
      <c r="I864" t="s">
        <v>29</v>
      </c>
      <c r="J864" t="s">
        <v>30</v>
      </c>
      <c r="K864" t="s">
        <v>30</v>
      </c>
      <c r="L864" t="s">
        <v>31</v>
      </c>
      <c r="M864" t="s">
        <v>39</v>
      </c>
      <c r="N864">
        <v>23</v>
      </c>
      <c r="O864">
        <v>3</v>
      </c>
      <c r="P864">
        <v>0</v>
      </c>
      <c r="Q864">
        <v>518.3506044905009</v>
      </c>
      <c r="R864">
        <v>4.749568221070812</v>
      </c>
      <c r="S864">
        <v>109.1363636363636</v>
      </c>
      <c r="T864">
        <v>0</v>
      </c>
      <c r="U864">
        <v>1</v>
      </c>
      <c r="V864">
        <v>0</v>
      </c>
      <c r="W864">
        <v>7.784057002639929</v>
      </c>
      <c r="X864">
        <v>0</v>
      </c>
    </row>
    <row r="865" spans="1:24">
      <c r="A865" t="s">
        <v>2634</v>
      </c>
      <c r="B865" t="s">
        <v>2635</v>
      </c>
      <c r="C865" t="s">
        <v>35</v>
      </c>
      <c r="D865">
        <v>1.653</v>
      </c>
      <c r="E865">
        <v>5195</v>
      </c>
      <c r="F865">
        <v>19</v>
      </c>
      <c r="G865" t="s">
        <v>27</v>
      </c>
      <c r="H865" t="s">
        <v>2636</v>
      </c>
      <c r="I865" t="s">
        <v>29</v>
      </c>
      <c r="J865" t="s">
        <v>30</v>
      </c>
      <c r="K865" t="s">
        <v>31</v>
      </c>
      <c r="L865" t="s">
        <v>31</v>
      </c>
      <c r="M865" t="s">
        <v>97</v>
      </c>
      <c r="N865">
        <v>23</v>
      </c>
      <c r="O865">
        <v>3</v>
      </c>
      <c r="P865">
        <v>0</v>
      </c>
      <c r="Q865">
        <v>3142.770719903206</v>
      </c>
      <c r="R865">
        <v>11.49425287356322</v>
      </c>
      <c r="S865">
        <v>273.421052631579</v>
      </c>
      <c r="T865">
        <v>0</v>
      </c>
      <c r="U865">
        <v>1</v>
      </c>
      <c r="V865">
        <v>0</v>
      </c>
      <c r="W865">
        <v>8.55564437779049</v>
      </c>
      <c r="X865">
        <v>0</v>
      </c>
    </row>
    <row r="866" spans="1:24">
      <c r="A866" t="s">
        <v>2637</v>
      </c>
      <c r="B866" t="s">
        <v>2638</v>
      </c>
      <c r="C866" t="s">
        <v>35</v>
      </c>
      <c r="D866">
        <v>5.266</v>
      </c>
      <c r="E866">
        <v>2862</v>
      </c>
      <c r="F866">
        <v>19</v>
      </c>
      <c r="G866" t="s">
        <v>47</v>
      </c>
      <c r="H866" t="s">
        <v>2639</v>
      </c>
      <c r="I866" t="s">
        <v>29</v>
      </c>
      <c r="J866" t="s">
        <v>31</v>
      </c>
      <c r="K866" t="s">
        <v>30</v>
      </c>
      <c r="L866" t="s">
        <v>30</v>
      </c>
      <c r="M866" t="s">
        <v>76</v>
      </c>
      <c r="N866">
        <v>0</v>
      </c>
      <c r="O866">
        <v>4</v>
      </c>
      <c r="P866">
        <v>0</v>
      </c>
      <c r="Q866">
        <v>543.4865172806684</v>
      </c>
      <c r="R866">
        <v>3.608051652107862</v>
      </c>
      <c r="S866">
        <v>150.6315789473684</v>
      </c>
      <c r="T866">
        <v>0</v>
      </c>
      <c r="U866">
        <v>1</v>
      </c>
      <c r="V866">
        <v>0</v>
      </c>
      <c r="W866">
        <v>7.959625305098115</v>
      </c>
      <c r="X866">
        <v>0</v>
      </c>
    </row>
    <row r="867" spans="1:24">
      <c r="A867" t="s">
        <v>2640</v>
      </c>
      <c r="B867" t="s">
        <v>2641</v>
      </c>
      <c r="C867" t="s">
        <v>35</v>
      </c>
      <c r="D867">
        <v>2.165</v>
      </c>
      <c r="E867">
        <v>2433</v>
      </c>
      <c r="F867">
        <v>18</v>
      </c>
      <c r="G867" t="s">
        <v>27</v>
      </c>
      <c r="H867" t="s">
        <v>2642</v>
      </c>
      <c r="I867" t="s">
        <v>29</v>
      </c>
      <c r="J867" t="s">
        <v>30</v>
      </c>
      <c r="K867" t="s">
        <v>30</v>
      </c>
      <c r="L867" t="s">
        <v>38</v>
      </c>
      <c r="M867" t="s">
        <v>39</v>
      </c>
      <c r="N867">
        <v>0</v>
      </c>
      <c r="O867">
        <v>4</v>
      </c>
      <c r="P867">
        <v>0</v>
      </c>
      <c r="Q867">
        <v>1123.78752886836</v>
      </c>
      <c r="R867">
        <v>8.314087759815243</v>
      </c>
      <c r="S867">
        <v>135.1666666666667</v>
      </c>
      <c r="T867">
        <v>0</v>
      </c>
      <c r="U867">
        <v>1</v>
      </c>
      <c r="V867">
        <v>0</v>
      </c>
      <c r="W867">
        <v>7.797291273547472</v>
      </c>
      <c r="X867">
        <v>0</v>
      </c>
    </row>
    <row r="868" spans="1:24">
      <c r="A868" t="s">
        <v>2643</v>
      </c>
      <c r="B868" t="s">
        <v>2644</v>
      </c>
      <c r="C868" t="s">
        <v>35</v>
      </c>
      <c r="D868">
        <v>2.922</v>
      </c>
      <c r="E868">
        <v>269</v>
      </c>
      <c r="F868">
        <v>22</v>
      </c>
      <c r="G868" t="s">
        <v>47</v>
      </c>
      <c r="H868" t="s">
        <v>2645</v>
      </c>
      <c r="I868" t="s">
        <v>29</v>
      </c>
      <c r="J868" t="s">
        <v>31</v>
      </c>
      <c r="K868" t="s">
        <v>31</v>
      </c>
      <c r="L868" t="s">
        <v>31</v>
      </c>
      <c r="M868" t="s">
        <v>97</v>
      </c>
      <c r="N868">
        <v>0</v>
      </c>
      <c r="O868">
        <v>4</v>
      </c>
      <c r="P868">
        <v>0</v>
      </c>
      <c r="Q868">
        <v>92.06023271731692</v>
      </c>
      <c r="R868">
        <v>7.529089664613278</v>
      </c>
      <c r="S868">
        <v>12.22727272727273</v>
      </c>
      <c r="T868">
        <v>0</v>
      </c>
      <c r="U868">
        <v>1</v>
      </c>
      <c r="V868">
        <v>0</v>
      </c>
      <c r="W868">
        <v>5.598421958998375</v>
      </c>
      <c r="X868">
        <v>0</v>
      </c>
    </row>
    <row r="869" spans="1:24">
      <c r="A869" t="s">
        <v>2646</v>
      </c>
      <c r="B869" t="s">
        <v>2647</v>
      </c>
      <c r="C869" t="s">
        <v>26</v>
      </c>
      <c r="D869">
        <v>1.038</v>
      </c>
      <c r="E869">
        <v>3809</v>
      </c>
      <c r="F869">
        <v>22</v>
      </c>
      <c r="G869" t="s">
        <v>36</v>
      </c>
      <c r="H869" t="s">
        <v>2648</v>
      </c>
      <c r="I869" t="s">
        <v>29</v>
      </c>
      <c r="J869" t="s">
        <v>38</v>
      </c>
      <c r="K869" t="s">
        <v>31</v>
      </c>
      <c r="L869" t="s">
        <v>38</v>
      </c>
      <c r="M869" t="s">
        <v>39</v>
      </c>
      <c r="N869">
        <v>0</v>
      </c>
      <c r="O869">
        <v>4</v>
      </c>
      <c r="P869">
        <v>0</v>
      </c>
      <c r="Q869">
        <v>3669.556840077071</v>
      </c>
      <c r="R869">
        <v>21.19460500963391</v>
      </c>
      <c r="S869">
        <v>173.1363636363636</v>
      </c>
      <c r="T869">
        <v>0</v>
      </c>
      <c r="U869">
        <v>1</v>
      </c>
      <c r="V869">
        <v>0</v>
      </c>
      <c r="W869">
        <v>8.245384468120747</v>
      </c>
      <c r="X869">
        <v>0</v>
      </c>
    </row>
    <row r="870" spans="1:24">
      <c r="A870" t="s">
        <v>2649</v>
      </c>
      <c r="B870" t="s">
        <v>2650</v>
      </c>
      <c r="C870" t="s">
        <v>35</v>
      </c>
      <c r="D870">
        <v>10.078</v>
      </c>
      <c r="E870">
        <v>468</v>
      </c>
      <c r="F870">
        <v>16</v>
      </c>
      <c r="G870" t="s">
        <v>36</v>
      </c>
      <c r="H870" t="s">
        <v>2651</v>
      </c>
      <c r="I870" t="s">
        <v>29</v>
      </c>
      <c r="J870" t="s">
        <v>38</v>
      </c>
      <c r="K870" t="s">
        <v>38</v>
      </c>
      <c r="L870" t="s">
        <v>31</v>
      </c>
      <c r="M870" t="s">
        <v>97</v>
      </c>
      <c r="N870">
        <v>0</v>
      </c>
      <c r="O870">
        <v>4</v>
      </c>
      <c r="P870">
        <v>0</v>
      </c>
      <c r="Q870">
        <v>46.43778527485613</v>
      </c>
      <c r="R870">
        <v>1.587616590593372</v>
      </c>
      <c r="S870">
        <v>29.25</v>
      </c>
      <c r="T870">
        <v>0</v>
      </c>
      <c r="U870">
        <v>1</v>
      </c>
      <c r="V870">
        <v>0</v>
      </c>
      <c r="W870">
        <v>6.150602768446279</v>
      </c>
      <c r="X870">
        <v>0</v>
      </c>
    </row>
    <row r="871" spans="1:24">
      <c r="A871" t="s">
        <v>2652</v>
      </c>
      <c r="B871" t="s">
        <v>2653</v>
      </c>
      <c r="C871" t="s">
        <v>26</v>
      </c>
      <c r="D871">
        <v>3.041</v>
      </c>
      <c r="E871">
        <v>5771</v>
      </c>
      <c r="F871">
        <v>14</v>
      </c>
      <c r="G871" t="s">
        <v>36</v>
      </c>
      <c r="H871" t="s">
        <v>2654</v>
      </c>
      <c r="I871" t="s">
        <v>29</v>
      </c>
      <c r="J871" t="s">
        <v>38</v>
      </c>
      <c r="K871" t="s">
        <v>31</v>
      </c>
      <c r="L871" t="s">
        <v>31</v>
      </c>
      <c r="M871" t="s">
        <v>97</v>
      </c>
      <c r="N871">
        <v>0</v>
      </c>
      <c r="O871">
        <v>4</v>
      </c>
      <c r="P871">
        <v>0</v>
      </c>
      <c r="Q871">
        <v>1897.731009536337</v>
      </c>
      <c r="R871">
        <v>4.603748766853009</v>
      </c>
      <c r="S871">
        <v>412.2142857142857</v>
      </c>
      <c r="T871">
        <v>0</v>
      </c>
      <c r="U871">
        <v>1</v>
      </c>
      <c r="V871">
        <v>0</v>
      </c>
      <c r="W871">
        <v>8.660773919893762</v>
      </c>
      <c r="X871">
        <v>0</v>
      </c>
    </row>
    <row r="872" spans="1:24">
      <c r="A872" t="s">
        <v>2655</v>
      </c>
      <c r="B872" t="s">
        <v>2656</v>
      </c>
      <c r="C872" t="s">
        <v>35</v>
      </c>
      <c r="D872">
        <v>3.105</v>
      </c>
      <c r="E872">
        <v>2763</v>
      </c>
      <c r="F872">
        <v>15</v>
      </c>
      <c r="G872" t="s">
        <v>47</v>
      </c>
      <c r="H872" t="s">
        <v>2657</v>
      </c>
      <c r="I872" t="s">
        <v>29</v>
      </c>
      <c r="J872" t="s">
        <v>31</v>
      </c>
      <c r="K872" t="s">
        <v>30</v>
      </c>
      <c r="L872" t="s">
        <v>30</v>
      </c>
      <c r="M872" t="s">
        <v>44</v>
      </c>
      <c r="N872">
        <v>0</v>
      </c>
      <c r="O872">
        <v>4</v>
      </c>
      <c r="P872">
        <v>0</v>
      </c>
      <c r="Q872">
        <v>889.8550724637681</v>
      </c>
      <c r="R872">
        <v>4.830917874396135</v>
      </c>
      <c r="S872">
        <v>184.2</v>
      </c>
      <c r="T872">
        <v>0</v>
      </c>
      <c r="U872">
        <v>1</v>
      </c>
      <c r="V872">
        <v>0</v>
      </c>
      <c r="W872">
        <v>7.92443418488756</v>
      </c>
      <c r="X872">
        <v>0</v>
      </c>
    </row>
    <row r="873" spans="1:24">
      <c r="A873" t="s">
        <v>2658</v>
      </c>
      <c r="B873" t="s">
        <v>2659</v>
      </c>
      <c r="C873" t="s">
        <v>35</v>
      </c>
      <c r="D873">
        <v>9.252000000000001</v>
      </c>
      <c r="E873">
        <v>29069</v>
      </c>
      <c r="F873">
        <v>20</v>
      </c>
      <c r="G873" t="s">
        <v>62</v>
      </c>
      <c r="H873" t="s">
        <v>2660</v>
      </c>
      <c r="I873" t="s">
        <v>29</v>
      </c>
      <c r="J873" t="s">
        <v>30</v>
      </c>
      <c r="K873" t="s">
        <v>30</v>
      </c>
      <c r="L873" t="s">
        <v>31</v>
      </c>
      <c r="M873" t="s">
        <v>44</v>
      </c>
      <c r="N873">
        <v>0</v>
      </c>
      <c r="O873">
        <v>4</v>
      </c>
      <c r="P873">
        <v>0</v>
      </c>
      <c r="Q873">
        <v>3141.915261565067</v>
      </c>
      <c r="R873">
        <v>2.16169476869866</v>
      </c>
      <c r="S873">
        <v>1453.45</v>
      </c>
      <c r="T873">
        <v>0</v>
      </c>
      <c r="U873">
        <v>1</v>
      </c>
      <c r="V873">
        <v>1</v>
      </c>
      <c r="W873">
        <v>10.27746199355292</v>
      </c>
      <c r="X873">
        <v>0</v>
      </c>
    </row>
    <row r="874" spans="1:24">
      <c r="A874" t="s">
        <v>2661</v>
      </c>
      <c r="B874" t="s">
        <v>2662</v>
      </c>
      <c r="C874" t="s">
        <v>35</v>
      </c>
      <c r="D874">
        <v>3.424</v>
      </c>
      <c r="E874">
        <v>29706</v>
      </c>
      <c r="F874">
        <v>14</v>
      </c>
      <c r="G874" t="s">
        <v>27</v>
      </c>
      <c r="H874" t="s">
        <v>2663</v>
      </c>
      <c r="I874" t="s">
        <v>29</v>
      </c>
      <c r="J874" t="s">
        <v>30</v>
      </c>
      <c r="K874" t="s">
        <v>38</v>
      </c>
      <c r="L874" t="s">
        <v>31</v>
      </c>
      <c r="M874" t="s">
        <v>39</v>
      </c>
      <c r="N874">
        <v>0</v>
      </c>
      <c r="O874">
        <v>4</v>
      </c>
      <c r="P874">
        <v>0</v>
      </c>
      <c r="Q874">
        <v>8675.817757009347</v>
      </c>
      <c r="R874">
        <v>4.088785046728972</v>
      </c>
      <c r="S874">
        <v>2121.857142857143</v>
      </c>
      <c r="T874">
        <v>0</v>
      </c>
      <c r="U874">
        <v>1</v>
      </c>
      <c r="V874">
        <v>1</v>
      </c>
      <c r="W874">
        <v>10.2991379872559</v>
      </c>
      <c r="X874">
        <v>0</v>
      </c>
    </row>
    <row r="875" spans="1:24">
      <c r="A875" t="s">
        <v>2664</v>
      </c>
      <c r="B875" t="s">
        <v>2665</v>
      </c>
      <c r="C875" t="s">
        <v>35</v>
      </c>
      <c r="D875">
        <v>0.592</v>
      </c>
      <c r="E875">
        <v>1494</v>
      </c>
      <c r="F875">
        <v>12</v>
      </c>
      <c r="G875" t="s">
        <v>27</v>
      </c>
      <c r="H875" t="s">
        <v>2666</v>
      </c>
      <c r="I875" t="s">
        <v>29</v>
      </c>
      <c r="J875" t="s">
        <v>30</v>
      </c>
      <c r="K875" t="s">
        <v>30</v>
      </c>
      <c r="L875" t="s">
        <v>30</v>
      </c>
      <c r="M875" t="s">
        <v>44</v>
      </c>
      <c r="N875">
        <v>0</v>
      </c>
      <c r="O875">
        <v>4</v>
      </c>
      <c r="P875">
        <v>0</v>
      </c>
      <c r="Q875">
        <v>2523.648648648649</v>
      </c>
      <c r="R875">
        <v>20.27027027027027</v>
      </c>
      <c r="S875">
        <v>124.5</v>
      </c>
      <c r="T875">
        <v>0</v>
      </c>
      <c r="U875">
        <v>1</v>
      </c>
      <c r="V875">
        <v>0</v>
      </c>
      <c r="W875">
        <v>7.309881485824786</v>
      </c>
      <c r="X875">
        <v>0</v>
      </c>
    </row>
    <row r="876" spans="1:24">
      <c r="A876" t="s">
        <v>2667</v>
      </c>
      <c r="B876" t="s">
        <v>2668</v>
      </c>
      <c r="C876" t="s">
        <v>26</v>
      </c>
      <c r="D876">
        <v>3.322</v>
      </c>
      <c r="E876">
        <v>7397</v>
      </c>
      <c r="F876">
        <v>19</v>
      </c>
      <c r="G876" t="s">
        <v>27</v>
      </c>
      <c r="H876" t="s">
        <v>2669</v>
      </c>
      <c r="I876" t="s">
        <v>29</v>
      </c>
      <c r="J876" t="s">
        <v>30</v>
      </c>
      <c r="K876" t="s">
        <v>31</v>
      </c>
      <c r="L876" t="s">
        <v>30</v>
      </c>
      <c r="M876" t="s">
        <v>39</v>
      </c>
      <c r="N876">
        <v>0</v>
      </c>
      <c r="O876">
        <v>4</v>
      </c>
      <c r="P876">
        <v>0</v>
      </c>
      <c r="Q876">
        <v>2226.670680313064</v>
      </c>
      <c r="R876">
        <v>5.71944611679711</v>
      </c>
      <c r="S876">
        <v>389.3157894736842</v>
      </c>
      <c r="T876">
        <v>0</v>
      </c>
      <c r="U876">
        <v>1</v>
      </c>
      <c r="V876">
        <v>0</v>
      </c>
      <c r="W876">
        <v>8.908964972392399</v>
      </c>
      <c r="X876">
        <v>0</v>
      </c>
    </row>
    <row r="877" spans="1:24">
      <c r="A877" t="s">
        <v>2670</v>
      </c>
      <c r="B877" t="s">
        <v>2671</v>
      </c>
      <c r="C877" t="s">
        <v>35</v>
      </c>
      <c r="D877">
        <v>2.81</v>
      </c>
      <c r="E877">
        <v>4286</v>
      </c>
      <c r="F877">
        <v>27</v>
      </c>
      <c r="G877" t="s">
        <v>27</v>
      </c>
      <c r="H877" t="s">
        <v>2672</v>
      </c>
      <c r="I877" t="s">
        <v>29</v>
      </c>
      <c r="J877" t="s">
        <v>30</v>
      </c>
      <c r="K877" t="s">
        <v>31</v>
      </c>
      <c r="L877" t="s">
        <v>38</v>
      </c>
      <c r="M877" t="s">
        <v>97</v>
      </c>
      <c r="N877">
        <v>0</v>
      </c>
      <c r="O877">
        <v>4</v>
      </c>
      <c r="P877">
        <v>0</v>
      </c>
      <c r="Q877">
        <v>1525.266903914591</v>
      </c>
      <c r="R877">
        <v>9.608540925266905</v>
      </c>
      <c r="S877">
        <v>158.7407407407407</v>
      </c>
      <c r="T877">
        <v>0</v>
      </c>
      <c r="U877">
        <v>1</v>
      </c>
      <c r="V877">
        <v>0</v>
      </c>
      <c r="W877">
        <v>8.363342466597977</v>
      </c>
      <c r="X877">
        <v>0</v>
      </c>
    </row>
    <row r="878" spans="1:24">
      <c r="A878" t="s">
        <v>2673</v>
      </c>
      <c r="B878" t="s">
        <v>2674</v>
      </c>
      <c r="C878" t="s">
        <v>35</v>
      </c>
      <c r="D878">
        <v>0.653</v>
      </c>
      <c r="E878">
        <v>1118</v>
      </c>
      <c r="F878">
        <v>15</v>
      </c>
      <c r="G878" t="s">
        <v>62</v>
      </c>
      <c r="H878" t="s">
        <v>2675</v>
      </c>
      <c r="I878" t="s">
        <v>43</v>
      </c>
      <c r="J878" t="s">
        <v>30</v>
      </c>
      <c r="K878" t="s">
        <v>30</v>
      </c>
      <c r="L878" t="s">
        <v>31</v>
      </c>
      <c r="M878" t="s">
        <v>97</v>
      </c>
      <c r="N878">
        <v>1</v>
      </c>
      <c r="O878">
        <v>4</v>
      </c>
      <c r="P878">
        <v>0</v>
      </c>
      <c r="Q878">
        <v>1712.098009188361</v>
      </c>
      <c r="R878">
        <v>22.97090352220521</v>
      </c>
      <c r="S878">
        <v>74.53333333333333</v>
      </c>
      <c r="T878">
        <v>0</v>
      </c>
      <c r="U878">
        <v>1</v>
      </c>
      <c r="V878">
        <v>0</v>
      </c>
      <c r="W878">
        <v>7.020190708311925</v>
      </c>
      <c r="X878">
        <v>1</v>
      </c>
    </row>
    <row r="879" spans="1:24">
      <c r="A879" t="s">
        <v>2676</v>
      </c>
      <c r="B879" t="s">
        <v>2677</v>
      </c>
      <c r="C879" t="s">
        <v>35</v>
      </c>
      <c r="D879">
        <v>3.206</v>
      </c>
      <c r="E879">
        <v>563</v>
      </c>
      <c r="F879">
        <v>9</v>
      </c>
      <c r="G879" t="s">
        <v>62</v>
      </c>
      <c r="H879" t="s">
        <v>2678</v>
      </c>
      <c r="I879" t="s">
        <v>29</v>
      </c>
      <c r="J879" t="s">
        <v>30</v>
      </c>
      <c r="K879" t="s">
        <v>30</v>
      </c>
      <c r="L879" t="s">
        <v>30</v>
      </c>
      <c r="M879" t="s">
        <v>44</v>
      </c>
      <c r="N879">
        <v>1</v>
      </c>
      <c r="O879">
        <v>4</v>
      </c>
      <c r="P879">
        <v>0</v>
      </c>
      <c r="Q879">
        <v>175.6082345601996</v>
      </c>
      <c r="R879">
        <v>2.80723643169058</v>
      </c>
      <c r="S879">
        <v>62.55555555555556</v>
      </c>
      <c r="T879">
        <v>0</v>
      </c>
      <c r="U879">
        <v>1</v>
      </c>
      <c r="V879">
        <v>0</v>
      </c>
      <c r="W879">
        <v>6.335054251498059</v>
      </c>
      <c r="X879">
        <v>0</v>
      </c>
    </row>
    <row r="880" spans="1:24">
      <c r="A880" t="s">
        <v>2679</v>
      </c>
      <c r="B880" t="s">
        <v>2680</v>
      </c>
      <c r="C880" t="s">
        <v>26</v>
      </c>
      <c r="D880">
        <v>3.689</v>
      </c>
      <c r="E880">
        <v>2917</v>
      </c>
      <c r="F880">
        <v>16</v>
      </c>
      <c r="G880" t="s">
        <v>47</v>
      </c>
      <c r="H880" t="s">
        <v>2681</v>
      </c>
      <c r="I880" t="s">
        <v>29</v>
      </c>
      <c r="J880" t="s">
        <v>31</v>
      </c>
      <c r="K880" t="s">
        <v>30</v>
      </c>
      <c r="L880" t="s">
        <v>31</v>
      </c>
      <c r="M880" t="s">
        <v>97</v>
      </c>
      <c r="N880">
        <v>1</v>
      </c>
      <c r="O880">
        <v>4</v>
      </c>
      <c r="P880">
        <v>0</v>
      </c>
      <c r="Q880">
        <v>790.729194903768</v>
      </c>
      <c r="R880">
        <v>4.33721875847113</v>
      </c>
      <c r="S880">
        <v>182.3125</v>
      </c>
      <c r="T880">
        <v>0</v>
      </c>
      <c r="U880">
        <v>1</v>
      </c>
      <c r="V880">
        <v>0</v>
      </c>
      <c r="W880">
        <v>7.978653729082731</v>
      </c>
      <c r="X880">
        <v>0</v>
      </c>
    </row>
    <row r="881" spans="1:24">
      <c r="A881" t="s">
        <v>2682</v>
      </c>
      <c r="B881" t="s">
        <v>2683</v>
      </c>
      <c r="C881" t="s">
        <v>35</v>
      </c>
      <c r="D881">
        <v>3.298</v>
      </c>
      <c r="E881">
        <v>2647</v>
      </c>
      <c r="F881">
        <v>18</v>
      </c>
      <c r="G881" t="s">
        <v>36</v>
      </c>
      <c r="H881" t="s">
        <v>2684</v>
      </c>
      <c r="I881" t="s">
        <v>29</v>
      </c>
      <c r="J881" t="s">
        <v>38</v>
      </c>
      <c r="K881" t="s">
        <v>30</v>
      </c>
      <c r="L881" t="s">
        <v>31</v>
      </c>
      <c r="M881" t="s">
        <v>44</v>
      </c>
      <c r="N881">
        <v>1</v>
      </c>
      <c r="O881">
        <v>4</v>
      </c>
      <c r="P881">
        <v>0</v>
      </c>
      <c r="Q881">
        <v>802.6076409945422</v>
      </c>
      <c r="R881">
        <v>5.45785324439054</v>
      </c>
      <c r="S881">
        <v>147.0555555555555</v>
      </c>
      <c r="T881">
        <v>0</v>
      </c>
      <c r="U881">
        <v>1</v>
      </c>
      <c r="V881">
        <v>0</v>
      </c>
      <c r="W881">
        <v>7.881559917056899</v>
      </c>
      <c r="X881">
        <v>0</v>
      </c>
    </row>
    <row r="882" spans="1:24">
      <c r="A882" t="s">
        <v>2685</v>
      </c>
      <c r="B882" t="s">
        <v>2686</v>
      </c>
      <c r="C882" t="s">
        <v>26</v>
      </c>
      <c r="D882">
        <v>3.67</v>
      </c>
      <c r="E882">
        <v>2620</v>
      </c>
      <c r="F882">
        <v>18</v>
      </c>
      <c r="G882" t="s">
        <v>62</v>
      </c>
      <c r="H882" t="s">
        <v>2687</v>
      </c>
      <c r="I882" t="s">
        <v>29</v>
      </c>
      <c r="J882" t="s">
        <v>30</v>
      </c>
      <c r="K882" t="s">
        <v>31</v>
      </c>
      <c r="L882" t="s">
        <v>31</v>
      </c>
      <c r="M882" t="s">
        <v>44</v>
      </c>
      <c r="N882">
        <v>1</v>
      </c>
      <c r="O882">
        <v>4</v>
      </c>
      <c r="P882">
        <v>0</v>
      </c>
      <c r="Q882">
        <v>713.8964577656676</v>
      </c>
      <c r="R882">
        <v>4.904632152588556</v>
      </c>
      <c r="S882">
        <v>145.5555555555555</v>
      </c>
      <c r="T882">
        <v>0</v>
      </c>
      <c r="U882">
        <v>1</v>
      </c>
      <c r="V882">
        <v>0</v>
      </c>
      <c r="W882">
        <v>7.871311203323407</v>
      </c>
      <c r="X882">
        <v>0</v>
      </c>
    </row>
    <row r="883" spans="1:24">
      <c r="A883" t="s">
        <v>2688</v>
      </c>
      <c r="B883" t="s">
        <v>2689</v>
      </c>
      <c r="C883" t="s">
        <v>26</v>
      </c>
      <c r="D883">
        <v>4.004</v>
      </c>
      <c r="E883">
        <v>2763</v>
      </c>
      <c r="F883">
        <v>14</v>
      </c>
      <c r="G883" t="s">
        <v>47</v>
      </c>
      <c r="H883" t="s">
        <v>2690</v>
      </c>
      <c r="I883" t="s">
        <v>29</v>
      </c>
      <c r="J883" t="s">
        <v>31</v>
      </c>
      <c r="K883" t="s">
        <v>30</v>
      </c>
      <c r="L883" t="s">
        <v>31</v>
      </c>
      <c r="M883" t="s">
        <v>83</v>
      </c>
      <c r="N883">
        <v>1</v>
      </c>
      <c r="O883">
        <v>4</v>
      </c>
      <c r="P883">
        <v>0</v>
      </c>
      <c r="Q883">
        <v>690.0599400599401</v>
      </c>
      <c r="R883">
        <v>3.496503496503497</v>
      </c>
      <c r="S883">
        <v>197.3571428571429</v>
      </c>
      <c r="T883">
        <v>0</v>
      </c>
      <c r="U883">
        <v>1</v>
      </c>
      <c r="V883">
        <v>0</v>
      </c>
      <c r="W883">
        <v>7.92443418488756</v>
      </c>
      <c r="X883">
        <v>0</v>
      </c>
    </row>
    <row r="884" spans="1:24">
      <c r="A884" t="s">
        <v>2691</v>
      </c>
      <c r="B884" t="s">
        <v>2692</v>
      </c>
      <c r="C884" t="s">
        <v>35</v>
      </c>
      <c r="D884">
        <v>2.328</v>
      </c>
      <c r="E884">
        <v>3935</v>
      </c>
      <c r="F884">
        <v>25</v>
      </c>
      <c r="G884" t="s">
        <v>47</v>
      </c>
      <c r="H884" t="s">
        <v>2693</v>
      </c>
      <c r="I884" t="s">
        <v>29</v>
      </c>
      <c r="J884" t="s">
        <v>31</v>
      </c>
      <c r="K884" t="s">
        <v>30</v>
      </c>
      <c r="L884" t="s">
        <v>30</v>
      </c>
      <c r="M884" t="s">
        <v>97</v>
      </c>
      <c r="N884">
        <v>1</v>
      </c>
      <c r="O884">
        <v>4</v>
      </c>
      <c r="P884">
        <v>0</v>
      </c>
      <c r="Q884">
        <v>1690.292096219931</v>
      </c>
      <c r="R884">
        <v>10.73883161512028</v>
      </c>
      <c r="S884">
        <v>157.4</v>
      </c>
      <c r="T884">
        <v>0</v>
      </c>
      <c r="U884">
        <v>1</v>
      </c>
      <c r="V884">
        <v>0</v>
      </c>
      <c r="W884">
        <v>8.277920258172143</v>
      </c>
      <c r="X884">
        <v>0</v>
      </c>
    </row>
    <row r="885" spans="1:24">
      <c r="A885" t="s">
        <v>2694</v>
      </c>
      <c r="B885" t="s">
        <v>2695</v>
      </c>
      <c r="C885" t="s">
        <v>35</v>
      </c>
      <c r="D885">
        <v>1.22</v>
      </c>
      <c r="E885">
        <v>3856</v>
      </c>
      <c r="F885">
        <v>18</v>
      </c>
      <c r="G885" t="s">
        <v>47</v>
      </c>
      <c r="H885" t="s">
        <v>2696</v>
      </c>
      <c r="I885" t="s">
        <v>29</v>
      </c>
      <c r="J885" t="s">
        <v>31</v>
      </c>
      <c r="K885" t="s">
        <v>30</v>
      </c>
      <c r="L885" t="s">
        <v>31</v>
      </c>
      <c r="M885" t="s">
        <v>97</v>
      </c>
      <c r="N885">
        <v>1</v>
      </c>
      <c r="O885">
        <v>4</v>
      </c>
      <c r="P885">
        <v>0</v>
      </c>
      <c r="Q885">
        <v>3160.655737704918</v>
      </c>
      <c r="R885">
        <v>14.75409836065574</v>
      </c>
      <c r="S885">
        <v>214.2222222222222</v>
      </c>
      <c r="T885">
        <v>0</v>
      </c>
      <c r="U885">
        <v>1</v>
      </c>
      <c r="V885">
        <v>0</v>
      </c>
      <c r="W885">
        <v>8.257644958208228</v>
      </c>
      <c r="X885">
        <v>0</v>
      </c>
    </row>
    <row r="886" spans="1:24">
      <c r="A886" t="s">
        <v>2697</v>
      </c>
      <c r="B886" t="s">
        <v>2698</v>
      </c>
      <c r="C886" t="s">
        <v>35</v>
      </c>
      <c r="D886">
        <v>2.703</v>
      </c>
      <c r="E886">
        <v>4180</v>
      </c>
      <c r="F886">
        <v>15</v>
      </c>
      <c r="G886" t="s">
        <v>62</v>
      </c>
      <c r="H886" t="s">
        <v>2699</v>
      </c>
      <c r="I886" t="s">
        <v>29</v>
      </c>
      <c r="J886" t="s">
        <v>30</v>
      </c>
      <c r="K886" t="s">
        <v>30</v>
      </c>
      <c r="L886" t="s">
        <v>30</v>
      </c>
      <c r="M886" t="s">
        <v>76</v>
      </c>
      <c r="N886">
        <v>1</v>
      </c>
      <c r="O886">
        <v>4</v>
      </c>
      <c r="P886">
        <v>0</v>
      </c>
      <c r="Q886">
        <v>1546.429892711802</v>
      </c>
      <c r="R886">
        <v>5.549389567147614</v>
      </c>
      <c r="S886">
        <v>278.6666666666667</v>
      </c>
      <c r="T886">
        <v>0</v>
      </c>
      <c r="U886">
        <v>1</v>
      </c>
      <c r="V886">
        <v>0</v>
      </c>
      <c r="W886">
        <v>8.338305731356565</v>
      </c>
      <c r="X886">
        <v>0</v>
      </c>
    </row>
    <row r="887" spans="1:24">
      <c r="A887" t="s">
        <v>2700</v>
      </c>
      <c r="B887" t="s">
        <v>2701</v>
      </c>
      <c r="C887" t="s">
        <v>26</v>
      </c>
      <c r="D887">
        <v>7.156</v>
      </c>
      <c r="E887">
        <v>833</v>
      </c>
      <c r="F887">
        <v>14</v>
      </c>
      <c r="G887" t="s">
        <v>47</v>
      </c>
      <c r="H887" t="s">
        <v>2702</v>
      </c>
      <c r="I887" t="s">
        <v>29</v>
      </c>
      <c r="J887" t="s">
        <v>31</v>
      </c>
      <c r="K887" t="s">
        <v>30</v>
      </c>
      <c r="L887" t="s">
        <v>30</v>
      </c>
      <c r="M887" t="s">
        <v>97</v>
      </c>
      <c r="N887">
        <v>1</v>
      </c>
      <c r="O887">
        <v>4</v>
      </c>
      <c r="P887">
        <v>0</v>
      </c>
      <c r="Q887">
        <v>116.4058133035215</v>
      </c>
      <c r="R887">
        <v>1.956400223588597</v>
      </c>
      <c r="S887">
        <v>59.5</v>
      </c>
      <c r="T887">
        <v>0</v>
      </c>
      <c r="U887">
        <v>1</v>
      </c>
      <c r="V887">
        <v>0</v>
      </c>
      <c r="W887">
        <v>6.726233402358747</v>
      </c>
      <c r="X887">
        <v>0</v>
      </c>
    </row>
    <row r="888" spans="1:24">
      <c r="A888" t="s">
        <v>2703</v>
      </c>
      <c r="B888" t="s">
        <v>2704</v>
      </c>
      <c r="C888" t="s">
        <v>35</v>
      </c>
      <c r="D888">
        <v>2.416</v>
      </c>
      <c r="E888">
        <v>1736</v>
      </c>
      <c r="F888">
        <v>20</v>
      </c>
      <c r="G888" t="s">
        <v>62</v>
      </c>
      <c r="H888" t="s">
        <v>2705</v>
      </c>
      <c r="I888" t="s">
        <v>29</v>
      </c>
      <c r="J888" t="s">
        <v>30</v>
      </c>
      <c r="K888" t="s">
        <v>30</v>
      </c>
      <c r="L888" t="s">
        <v>30</v>
      </c>
      <c r="M888" t="s">
        <v>39</v>
      </c>
      <c r="N888">
        <v>1</v>
      </c>
      <c r="O888">
        <v>4</v>
      </c>
      <c r="P888">
        <v>0</v>
      </c>
      <c r="Q888">
        <v>718.5430463576159</v>
      </c>
      <c r="R888">
        <v>8.278145695364239</v>
      </c>
      <c r="S888">
        <v>86.8</v>
      </c>
      <c r="T888">
        <v>0</v>
      </c>
      <c r="U888">
        <v>1</v>
      </c>
      <c r="V888">
        <v>0</v>
      </c>
      <c r="W888">
        <v>7.459914766241105</v>
      </c>
      <c r="X888">
        <v>0</v>
      </c>
    </row>
    <row r="889" spans="1:24">
      <c r="A889" t="s">
        <v>2706</v>
      </c>
      <c r="B889" t="s">
        <v>2707</v>
      </c>
      <c r="C889" t="s">
        <v>35</v>
      </c>
      <c r="D889">
        <v>4.129</v>
      </c>
      <c r="E889">
        <v>1215</v>
      </c>
      <c r="F889">
        <v>21</v>
      </c>
      <c r="G889" t="s">
        <v>36</v>
      </c>
      <c r="H889" t="s">
        <v>2708</v>
      </c>
      <c r="I889" t="s">
        <v>29</v>
      </c>
      <c r="J889" t="s">
        <v>38</v>
      </c>
      <c r="K889" t="s">
        <v>30</v>
      </c>
      <c r="L889" t="s">
        <v>31</v>
      </c>
      <c r="M889" t="s">
        <v>44</v>
      </c>
      <c r="N889">
        <v>1</v>
      </c>
      <c r="O889">
        <v>4</v>
      </c>
      <c r="P889">
        <v>0</v>
      </c>
      <c r="Q889">
        <v>294.2601114071204</v>
      </c>
      <c r="R889">
        <v>5.085977234197142</v>
      </c>
      <c r="S889">
        <v>57.85714285714285</v>
      </c>
      <c r="T889">
        <v>0</v>
      </c>
      <c r="U889">
        <v>1</v>
      </c>
      <c r="V889">
        <v>0</v>
      </c>
      <c r="W889">
        <v>7.103322062526113</v>
      </c>
      <c r="X889">
        <v>0</v>
      </c>
    </row>
    <row r="890" spans="1:24">
      <c r="A890" t="s">
        <v>2709</v>
      </c>
      <c r="B890" t="s">
        <v>2710</v>
      </c>
      <c r="C890" t="s">
        <v>35</v>
      </c>
      <c r="D890">
        <v>3.65</v>
      </c>
      <c r="E890">
        <v>5076</v>
      </c>
      <c r="F890">
        <v>17</v>
      </c>
      <c r="G890" t="s">
        <v>36</v>
      </c>
      <c r="H890" t="s">
        <v>2711</v>
      </c>
      <c r="I890" t="s">
        <v>29</v>
      </c>
      <c r="J890" t="s">
        <v>38</v>
      </c>
      <c r="K890" t="s">
        <v>31</v>
      </c>
      <c r="L890" t="s">
        <v>31</v>
      </c>
      <c r="M890" t="s">
        <v>39</v>
      </c>
      <c r="N890">
        <v>2</v>
      </c>
      <c r="O890">
        <v>4</v>
      </c>
      <c r="P890">
        <v>1</v>
      </c>
      <c r="Q890">
        <v>1390.684931506849</v>
      </c>
      <c r="R890">
        <v>4.657534246575342</v>
      </c>
      <c r="S890">
        <v>298.5882352941176</v>
      </c>
      <c r="T890">
        <v>0</v>
      </c>
      <c r="U890">
        <v>1</v>
      </c>
      <c r="V890">
        <v>0</v>
      </c>
      <c r="W890">
        <v>8.532475814947395</v>
      </c>
      <c r="X890">
        <v>0</v>
      </c>
    </row>
    <row r="891" spans="1:24">
      <c r="A891" t="s">
        <v>2712</v>
      </c>
      <c r="B891" t="s">
        <v>2713</v>
      </c>
      <c r="C891" t="s">
        <v>35</v>
      </c>
      <c r="D891">
        <v>3.557</v>
      </c>
      <c r="E891">
        <v>6641</v>
      </c>
      <c r="F891">
        <v>19</v>
      </c>
      <c r="G891" t="s">
        <v>62</v>
      </c>
      <c r="H891" t="s">
        <v>2714</v>
      </c>
      <c r="I891" t="s">
        <v>29</v>
      </c>
      <c r="J891" t="s">
        <v>30</v>
      </c>
      <c r="K891" t="s">
        <v>30</v>
      </c>
      <c r="L891" t="s">
        <v>31</v>
      </c>
      <c r="M891" t="s">
        <v>97</v>
      </c>
      <c r="N891">
        <v>2</v>
      </c>
      <c r="O891">
        <v>4</v>
      </c>
      <c r="P891">
        <v>1</v>
      </c>
      <c r="Q891">
        <v>1867.022771998876</v>
      </c>
      <c r="R891">
        <v>5.341579983131853</v>
      </c>
      <c r="S891">
        <v>349.5263157894737</v>
      </c>
      <c r="T891">
        <v>0</v>
      </c>
      <c r="U891">
        <v>1</v>
      </c>
      <c r="V891">
        <v>0</v>
      </c>
      <c r="W891">
        <v>8.801168401936692</v>
      </c>
      <c r="X891">
        <v>0</v>
      </c>
    </row>
    <row r="892" spans="1:24">
      <c r="A892" t="s">
        <v>2715</v>
      </c>
      <c r="B892" t="s">
        <v>2716</v>
      </c>
      <c r="C892" t="s">
        <v>26</v>
      </c>
      <c r="D892">
        <v>0.889</v>
      </c>
      <c r="E892">
        <v>3004</v>
      </c>
      <c r="F892">
        <v>16</v>
      </c>
      <c r="G892" t="s">
        <v>62</v>
      </c>
      <c r="H892" t="s">
        <v>2717</v>
      </c>
      <c r="I892" t="s">
        <v>29</v>
      </c>
      <c r="J892" t="s">
        <v>30</v>
      </c>
      <c r="K892" t="s">
        <v>38</v>
      </c>
      <c r="L892" t="s">
        <v>31</v>
      </c>
      <c r="M892" t="s">
        <v>83</v>
      </c>
      <c r="N892">
        <v>2</v>
      </c>
      <c r="O892">
        <v>4</v>
      </c>
      <c r="P892">
        <v>1</v>
      </c>
      <c r="Q892">
        <v>3379.077615298087</v>
      </c>
      <c r="R892">
        <v>17.99775028121485</v>
      </c>
      <c r="S892">
        <v>187.75</v>
      </c>
      <c r="T892">
        <v>0</v>
      </c>
      <c r="U892">
        <v>1</v>
      </c>
      <c r="V892">
        <v>0</v>
      </c>
      <c r="W892">
        <v>8.008032846969307</v>
      </c>
      <c r="X892">
        <v>0</v>
      </c>
    </row>
    <row r="893" spans="1:24">
      <c r="A893" t="s">
        <v>2718</v>
      </c>
      <c r="B893" t="s">
        <v>2719</v>
      </c>
      <c r="C893" t="s">
        <v>26</v>
      </c>
      <c r="D893">
        <v>1.255</v>
      </c>
      <c r="E893">
        <v>3793</v>
      </c>
      <c r="F893">
        <v>20</v>
      </c>
      <c r="G893" t="s">
        <v>36</v>
      </c>
      <c r="H893" t="s">
        <v>2720</v>
      </c>
      <c r="I893" t="s">
        <v>29</v>
      </c>
      <c r="J893" t="s">
        <v>38</v>
      </c>
      <c r="K893" t="s">
        <v>31</v>
      </c>
      <c r="L893" t="s">
        <v>31</v>
      </c>
      <c r="M893" t="s">
        <v>76</v>
      </c>
      <c r="N893">
        <v>2</v>
      </c>
      <c r="O893">
        <v>4</v>
      </c>
      <c r="P893">
        <v>1</v>
      </c>
      <c r="Q893">
        <v>3022.310756972112</v>
      </c>
      <c r="R893">
        <v>15.93625498007968</v>
      </c>
      <c r="S893">
        <v>189.65</v>
      </c>
      <c r="T893">
        <v>0</v>
      </c>
      <c r="U893">
        <v>1</v>
      </c>
      <c r="V893">
        <v>0</v>
      </c>
      <c r="W893">
        <v>8.24117615049496</v>
      </c>
      <c r="X893">
        <v>0</v>
      </c>
    </row>
    <row r="894" spans="1:24">
      <c r="A894" t="s">
        <v>2721</v>
      </c>
      <c r="B894" t="s">
        <v>2722</v>
      </c>
      <c r="C894" t="s">
        <v>35</v>
      </c>
      <c r="D894">
        <v>5.285</v>
      </c>
      <c r="E894">
        <v>2356</v>
      </c>
      <c r="F894">
        <v>15</v>
      </c>
      <c r="G894" t="s">
        <v>36</v>
      </c>
      <c r="H894" t="s">
        <v>2723</v>
      </c>
      <c r="I894" t="s">
        <v>29</v>
      </c>
      <c r="J894" t="s">
        <v>38</v>
      </c>
      <c r="K894" t="s">
        <v>30</v>
      </c>
      <c r="L894" t="s">
        <v>31</v>
      </c>
      <c r="M894" t="s">
        <v>44</v>
      </c>
      <c r="N894">
        <v>2</v>
      </c>
      <c r="O894">
        <v>4</v>
      </c>
      <c r="P894">
        <v>1</v>
      </c>
      <c r="Q894">
        <v>445.7899716177862</v>
      </c>
      <c r="R894">
        <v>2.838221381267739</v>
      </c>
      <c r="S894">
        <v>157.0666666666667</v>
      </c>
      <c r="T894">
        <v>0</v>
      </c>
      <c r="U894">
        <v>1</v>
      </c>
      <c r="V894">
        <v>0</v>
      </c>
      <c r="W894">
        <v>7.765144902936131</v>
      </c>
      <c r="X894">
        <v>0</v>
      </c>
    </row>
    <row r="895" spans="1:24">
      <c r="A895" t="s">
        <v>2724</v>
      </c>
      <c r="B895" t="s">
        <v>2725</v>
      </c>
      <c r="C895" t="s">
        <v>35</v>
      </c>
      <c r="D895">
        <v>1.543</v>
      </c>
      <c r="E895">
        <v>3194</v>
      </c>
      <c r="F895">
        <v>19</v>
      </c>
      <c r="G895" t="s">
        <v>47</v>
      </c>
      <c r="H895" t="s">
        <v>2726</v>
      </c>
      <c r="I895" t="s">
        <v>29</v>
      </c>
      <c r="J895" t="s">
        <v>31</v>
      </c>
      <c r="K895" t="s">
        <v>30</v>
      </c>
      <c r="L895" t="s">
        <v>30</v>
      </c>
      <c r="M895" t="s">
        <v>39</v>
      </c>
      <c r="N895">
        <v>2</v>
      </c>
      <c r="O895">
        <v>4</v>
      </c>
      <c r="P895">
        <v>1</v>
      </c>
      <c r="Q895">
        <v>2069.9935191186</v>
      </c>
      <c r="R895">
        <v>12.31367465975373</v>
      </c>
      <c r="S895">
        <v>168.1052631578947</v>
      </c>
      <c r="T895">
        <v>0</v>
      </c>
      <c r="U895">
        <v>1</v>
      </c>
      <c r="V895">
        <v>0</v>
      </c>
      <c r="W895">
        <v>8.069342366811636</v>
      </c>
      <c r="X895">
        <v>0</v>
      </c>
    </row>
    <row r="896" spans="1:24">
      <c r="A896" t="s">
        <v>2727</v>
      </c>
      <c r="B896" t="s">
        <v>2728</v>
      </c>
      <c r="C896" t="s">
        <v>35</v>
      </c>
      <c r="D896">
        <v>1.473</v>
      </c>
      <c r="E896">
        <v>1369</v>
      </c>
      <c r="F896">
        <v>16</v>
      </c>
      <c r="G896" t="s">
        <v>47</v>
      </c>
      <c r="H896" t="s">
        <v>2729</v>
      </c>
      <c r="I896" t="s">
        <v>29</v>
      </c>
      <c r="J896" t="s">
        <v>31</v>
      </c>
      <c r="K896" t="s">
        <v>30</v>
      </c>
      <c r="L896" t="s">
        <v>30</v>
      </c>
      <c r="M896" t="s">
        <v>39</v>
      </c>
      <c r="N896">
        <v>2</v>
      </c>
      <c r="O896">
        <v>4</v>
      </c>
      <c r="P896">
        <v>1</v>
      </c>
      <c r="Q896">
        <v>929.3957909029192</v>
      </c>
      <c r="R896">
        <v>10.8621860149355</v>
      </c>
      <c r="S896">
        <v>85.5625</v>
      </c>
      <c r="T896">
        <v>0</v>
      </c>
      <c r="U896">
        <v>1</v>
      </c>
      <c r="V896">
        <v>0</v>
      </c>
      <c r="W896">
        <v>7.222566018822171</v>
      </c>
      <c r="X896">
        <v>0</v>
      </c>
    </row>
    <row r="897" spans="1:24">
      <c r="A897" t="s">
        <v>2730</v>
      </c>
      <c r="B897" t="s">
        <v>2731</v>
      </c>
      <c r="C897" t="s">
        <v>35</v>
      </c>
      <c r="D897">
        <v>2.835</v>
      </c>
      <c r="E897">
        <v>3127</v>
      </c>
      <c r="F897">
        <v>22</v>
      </c>
      <c r="G897" t="s">
        <v>47</v>
      </c>
      <c r="H897" t="s">
        <v>2732</v>
      </c>
      <c r="I897" t="s">
        <v>29</v>
      </c>
      <c r="J897" t="s">
        <v>31</v>
      </c>
      <c r="K897" t="s">
        <v>30</v>
      </c>
      <c r="L897" t="s">
        <v>31</v>
      </c>
      <c r="M897" t="s">
        <v>44</v>
      </c>
      <c r="N897">
        <v>2</v>
      </c>
      <c r="O897">
        <v>4</v>
      </c>
      <c r="P897">
        <v>1</v>
      </c>
      <c r="Q897">
        <v>1102.99823633157</v>
      </c>
      <c r="R897">
        <v>7.760141093474427</v>
      </c>
      <c r="S897">
        <v>142.1363636363636</v>
      </c>
      <c r="T897">
        <v>0</v>
      </c>
      <c r="U897">
        <v>1</v>
      </c>
      <c r="V897">
        <v>0</v>
      </c>
      <c r="W897">
        <v>8.048149101665201</v>
      </c>
      <c r="X897">
        <v>0</v>
      </c>
    </row>
    <row r="898" spans="1:24">
      <c r="A898" t="s">
        <v>2733</v>
      </c>
      <c r="B898" t="s">
        <v>2734</v>
      </c>
      <c r="C898" t="s">
        <v>35</v>
      </c>
      <c r="D898">
        <v>3.022</v>
      </c>
      <c r="E898">
        <v>3710</v>
      </c>
      <c r="F898">
        <v>18</v>
      </c>
      <c r="G898" t="s">
        <v>27</v>
      </c>
      <c r="H898" t="s">
        <v>2735</v>
      </c>
      <c r="I898" t="s">
        <v>29</v>
      </c>
      <c r="J898" t="s">
        <v>30</v>
      </c>
      <c r="K898" t="s">
        <v>30</v>
      </c>
      <c r="L898" t="s">
        <v>31</v>
      </c>
      <c r="M898" t="s">
        <v>44</v>
      </c>
      <c r="N898">
        <v>2</v>
      </c>
      <c r="O898">
        <v>4</v>
      </c>
      <c r="P898">
        <v>1</v>
      </c>
      <c r="Q898">
        <v>1227.663798808736</v>
      </c>
      <c r="R898">
        <v>5.956320317670417</v>
      </c>
      <c r="S898">
        <v>206.1111111111111</v>
      </c>
      <c r="T898">
        <v>0</v>
      </c>
      <c r="U898">
        <v>1</v>
      </c>
      <c r="V898">
        <v>0</v>
      </c>
      <c r="W898">
        <v>8.219056661060598</v>
      </c>
      <c r="X898">
        <v>0</v>
      </c>
    </row>
    <row r="899" spans="1:24">
      <c r="A899" t="s">
        <v>2736</v>
      </c>
      <c r="B899" t="s">
        <v>2737</v>
      </c>
      <c r="C899" t="s">
        <v>35</v>
      </c>
      <c r="D899">
        <v>2.47</v>
      </c>
      <c r="E899">
        <v>6203</v>
      </c>
      <c r="F899">
        <v>93</v>
      </c>
      <c r="G899" t="s">
        <v>62</v>
      </c>
      <c r="H899" t="s">
        <v>2738</v>
      </c>
      <c r="I899" t="s">
        <v>49</v>
      </c>
      <c r="J899" t="s">
        <v>30</v>
      </c>
      <c r="K899" t="s">
        <v>30</v>
      </c>
      <c r="L899" t="s">
        <v>38</v>
      </c>
      <c r="M899" t="s">
        <v>76</v>
      </c>
      <c r="N899">
        <v>2</v>
      </c>
      <c r="O899">
        <v>4</v>
      </c>
      <c r="P899">
        <v>1</v>
      </c>
      <c r="Q899">
        <v>2511.336032388664</v>
      </c>
      <c r="R899">
        <v>37.65182186234818</v>
      </c>
      <c r="S899">
        <v>66.6989247311828</v>
      </c>
      <c r="T899">
        <v>0</v>
      </c>
      <c r="U899">
        <v>1</v>
      </c>
      <c r="V899">
        <v>0</v>
      </c>
      <c r="W899">
        <v>8.73294952429643</v>
      </c>
      <c r="X899">
        <v>1</v>
      </c>
    </row>
    <row r="900" spans="1:24">
      <c r="A900" t="s">
        <v>2739</v>
      </c>
      <c r="B900" t="s">
        <v>2740</v>
      </c>
      <c r="C900" t="s">
        <v>26</v>
      </c>
      <c r="D900">
        <v>5.161</v>
      </c>
      <c r="E900">
        <v>43211</v>
      </c>
      <c r="F900">
        <v>28</v>
      </c>
      <c r="G900" t="s">
        <v>62</v>
      </c>
      <c r="H900" t="s">
        <v>2741</v>
      </c>
      <c r="I900" t="s">
        <v>29</v>
      </c>
      <c r="J900" t="s">
        <v>30</v>
      </c>
      <c r="K900" t="s">
        <v>31</v>
      </c>
      <c r="L900" t="s">
        <v>31</v>
      </c>
      <c r="M900" t="s">
        <v>32</v>
      </c>
      <c r="N900">
        <v>2</v>
      </c>
      <c r="O900">
        <v>4</v>
      </c>
      <c r="P900">
        <v>1</v>
      </c>
      <c r="Q900">
        <v>8372.60220887425</v>
      </c>
      <c r="R900">
        <v>5.425305173416005</v>
      </c>
      <c r="S900">
        <v>1543.25</v>
      </c>
      <c r="T900">
        <v>0</v>
      </c>
      <c r="U900">
        <v>1</v>
      </c>
      <c r="V900">
        <v>1</v>
      </c>
      <c r="W900">
        <v>10.67387351343688</v>
      </c>
      <c r="X900">
        <v>0</v>
      </c>
    </row>
    <row r="901" spans="1:24">
      <c r="A901" t="s">
        <v>2742</v>
      </c>
      <c r="B901" t="s">
        <v>2743</v>
      </c>
      <c r="C901" t="s">
        <v>35</v>
      </c>
      <c r="D901">
        <v>4.167</v>
      </c>
      <c r="E901">
        <v>916</v>
      </c>
      <c r="F901">
        <v>12</v>
      </c>
      <c r="G901" t="s">
        <v>47</v>
      </c>
      <c r="H901" t="s">
        <v>2744</v>
      </c>
      <c r="I901" t="s">
        <v>29</v>
      </c>
      <c r="J901" t="s">
        <v>31</v>
      </c>
      <c r="K901" t="s">
        <v>38</v>
      </c>
      <c r="L901" t="s">
        <v>31</v>
      </c>
      <c r="M901" t="s">
        <v>44</v>
      </c>
      <c r="N901">
        <v>2</v>
      </c>
      <c r="O901">
        <v>4</v>
      </c>
      <c r="P901">
        <v>1</v>
      </c>
      <c r="Q901">
        <v>219.8224142068635</v>
      </c>
      <c r="R901">
        <v>2.879769618430525</v>
      </c>
      <c r="S901">
        <v>76.33333333333333</v>
      </c>
      <c r="T901">
        <v>0</v>
      </c>
      <c r="U901">
        <v>1</v>
      </c>
      <c r="V901">
        <v>0</v>
      </c>
      <c r="W901">
        <v>6.821107472256465</v>
      </c>
      <c r="X901">
        <v>0</v>
      </c>
    </row>
    <row r="902" spans="1:24">
      <c r="A902" t="s">
        <v>2745</v>
      </c>
      <c r="B902" t="s">
        <v>2746</v>
      </c>
      <c r="C902" t="s">
        <v>26</v>
      </c>
      <c r="D902">
        <v>7.56</v>
      </c>
      <c r="E902">
        <v>6039</v>
      </c>
      <c r="F902">
        <v>26</v>
      </c>
      <c r="G902" t="s">
        <v>47</v>
      </c>
      <c r="H902" t="s">
        <v>2747</v>
      </c>
      <c r="I902" t="s">
        <v>29</v>
      </c>
      <c r="J902" t="s">
        <v>31</v>
      </c>
      <c r="K902" t="s">
        <v>30</v>
      </c>
      <c r="L902" t="s">
        <v>38</v>
      </c>
      <c r="M902" t="s">
        <v>76</v>
      </c>
      <c r="N902">
        <v>3</v>
      </c>
      <c r="O902">
        <v>4</v>
      </c>
      <c r="P902">
        <v>1</v>
      </c>
      <c r="Q902">
        <v>798.8095238095239</v>
      </c>
      <c r="R902">
        <v>3.43915343915344</v>
      </c>
      <c r="S902">
        <v>232.2692307692308</v>
      </c>
      <c r="T902">
        <v>0</v>
      </c>
      <c r="U902">
        <v>1</v>
      </c>
      <c r="V902">
        <v>0</v>
      </c>
      <c r="W902">
        <v>8.706159290928861</v>
      </c>
      <c r="X902">
        <v>0</v>
      </c>
    </row>
    <row r="903" spans="1:24">
      <c r="A903" t="s">
        <v>2748</v>
      </c>
      <c r="B903" t="s">
        <v>2749</v>
      </c>
      <c r="C903" t="s">
        <v>35</v>
      </c>
      <c r="D903">
        <v>2.488</v>
      </c>
      <c r="E903">
        <v>915</v>
      </c>
      <c r="F903">
        <v>18</v>
      </c>
      <c r="G903" t="s">
        <v>47</v>
      </c>
      <c r="H903" t="s">
        <v>2750</v>
      </c>
      <c r="I903" t="s">
        <v>29</v>
      </c>
      <c r="J903" t="s">
        <v>31</v>
      </c>
      <c r="K903" t="s">
        <v>38</v>
      </c>
      <c r="L903" t="s">
        <v>30</v>
      </c>
      <c r="M903" t="s">
        <v>76</v>
      </c>
      <c r="N903">
        <v>3</v>
      </c>
      <c r="O903">
        <v>4</v>
      </c>
      <c r="P903">
        <v>1</v>
      </c>
      <c r="Q903">
        <v>367.7652733118971</v>
      </c>
      <c r="R903">
        <v>7.234726688102894</v>
      </c>
      <c r="S903">
        <v>50.83333333333334</v>
      </c>
      <c r="T903">
        <v>0</v>
      </c>
      <c r="U903">
        <v>1</v>
      </c>
      <c r="V903">
        <v>0</v>
      </c>
      <c r="W903">
        <v>6.82001636467413</v>
      </c>
      <c r="X903">
        <v>0</v>
      </c>
    </row>
    <row r="904" spans="1:24">
      <c r="A904" t="s">
        <v>2751</v>
      </c>
      <c r="B904" t="s">
        <v>2752</v>
      </c>
      <c r="C904" t="s">
        <v>35</v>
      </c>
      <c r="D904">
        <v>1.698</v>
      </c>
      <c r="E904">
        <v>1774</v>
      </c>
      <c r="F904">
        <v>15</v>
      </c>
      <c r="G904" t="s">
        <v>36</v>
      </c>
      <c r="H904" t="s">
        <v>2753</v>
      </c>
      <c r="I904" t="s">
        <v>29</v>
      </c>
      <c r="J904" t="s">
        <v>38</v>
      </c>
      <c r="K904" t="s">
        <v>30</v>
      </c>
      <c r="L904" t="s">
        <v>31</v>
      </c>
      <c r="M904" t="s">
        <v>97</v>
      </c>
      <c r="N904">
        <v>3</v>
      </c>
      <c r="O904">
        <v>4</v>
      </c>
      <c r="P904">
        <v>1</v>
      </c>
      <c r="Q904">
        <v>1044.758539458186</v>
      </c>
      <c r="R904">
        <v>8.8339222614841</v>
      </c>
      <c r="S904">
        <v>118.2666666666667</v>
      </c>
      <c r="T904">
        <v>0</v>
      </c>
      <c r="U904">
        <v>1</v>
      </c>
      <c r="V904">
        <v>0</v>
      </c>
      <c r="W904">
        <v>7.481555701909516</v>
      </c>
      <c r="X904">
        <v>0</v>
      </c>
    </row>
    <row r="905" spans="1:24">
      <c r="A905" t="s">
        <v>2754</v>
      </c>
      <c r="B905" t="s">
        <v>2755</v>
      </c>
      <c r="C905" t="s">
        <v>35</v>
      </c>
      <c r="D905">
        <v>5.072</v>
      </c>
      <c r="E905">
        <v>2875</v>
      </c>
      <c r="F905">
        <v>98</v>
      </c>
      <c r="G905" t="s">
        <v>36</v>
      </c>
      <c r="H905" t="s">
        <v>2756</v>
      </c>
      <c r="I905" t="s">
        <v>49</v>
      </c>
      <c r="J905" t="s">
        <v>38</v>
      </c>
      <c r="K905" t="s">
        <v>31</v>
      </c>
      <c r="L905" t="s">
        <v>30</v>
      </c>
      <c r="M905" t="s">
        <v>97</v>
      </c>
      <c r="N905">
        <v>3</v>
      </c>
      <c r="O905">
        <v>4</v>
      </c>
      <c r="P905">
        <v>1</v>
      </c>
      <c r="Q905">
        <v>566.8375394321766</v>
      </c>
      <c r="R905">
        <v>19.3217665615142</v>
      </c>
      <c r="S905">
        <v>29.33673469387756</v>
      </c>
      <c r="T905">
        <v>0</v>
      </c>
      <c r="U905">
        <v>1</v>
      </c>
      <c r="V905">
        <v>0</v>
      </c>
      <c r="W905">
        <v>7.964155718840937</v>
      </c>
      <c r="X905">
        <v>1</v>
      </c>
    </row>
    <row r="906" spans="1:24">
      <c r="A906" t="s">
        <v>2757</v>
      </c>
      <c r="B906" t="s">
        <v>2758</v>
      </c>
      <c r="C906" t="s">
        <v>130</v>
      </c>
      <c r="D906">
        <v>2.911</v>
      </c>
      <c r="E906">
        <v>3155</v>
      </c>
      <c r="F906">
        <v>14</v>
      </c>
      <c r="G906" t="s">
        <v>27</v>
      </c>
      <c r="H906" t="s">
        <v>2759</v>
      </c>
      <c r="I906" t="s">
        <v>29</v>
      </c>
      <c r="J906" t="s">
        <v>30</v>
      </c>
      <c r="K906" t="s">
        <v>30</v>
      </c>
      <c r="L906" t="s">
        <v>38</v>
      </c>
      <c r="M906" t="s">
        <v>76</v>
      </c>
      <c r="N906">
        <v>3</v>
      </c>
      <c r="O906">
        <v>4</v>
      </c>
      <c r="P906">
        <v>1</v>
      </c>
      <c r="Q906">
        <v>1083.819993129509</v>
      </c>
      <c r="R906">
        <v>4.809343868086568</v>
      </c>
      <c r="S906">
        <v>225.3571428571429</v>
      </c>
      <c r="T906">
        <v>0</v>
      </c>
      <c r="U906">
        <v>1</v>
      </c>
      <c r="V906">
        <v>0</v>
      </c>
      <c r="W906">
        <v>8.057060681965766</v>
      </c>
      <c r="X906">
        <v>0</v>
      </c>
    </row>
    <row r="907" spans="1:24">
      <c r="A907" t="s">
        <v>2760</v>
      </c>
      <c r="B907" t="s">
        <v>2761</v>
      </c>
      <c r="C907" t="s">
        <v>35</v>
      </c>
      <c r="D907">
        <v>3.986</v>
      </c>
      <c r="E907">
        <v>6303</v>
      </c>
      <c r="F907">
        <v>15</v>
      </c>
      <c r="G907" t="s">
        <v>47</v>
      </c>
      <c r="H907" t="s">
        <v>2762</v>
      </c>
      <c r="I907" t="s">
        <v>29</v>
      </c>
      <c r="J907" t="s">
        <v>31</v>
      </c>
      <c r="K907" t="s">
        <v>30</v>
      </c>
      <c r="L907" t="s">
        <v>30</v>
      </c>
      <c r="M907" t="s">
        <v>76</v>
      </c>
      <c r="N907">
        <v>3</v>
      </c>
      <c r="O907">
        <v>4</v>
      </c>
      <c r="P907">
        <v>1</v>
      </c>
      <c r="Q907">
        <v>1581.284495735073</v>
      </c>
      <c r="R907">
        <v>3.763171098845961</v>
      </c>
      <c r="S907">
        <v>420.2</v>
      </c>
      <c r="T907">
        <v>0</v>
      </c>
      <c r="U907">
        <v>1</v>
      </c>
      <c r="V907">
        <v>0</v>
      </c>
      <c r="W907">
        <v>8.748939631537715</v>
      </c>
      <c r="X907">
        <v>0</v>
      </c>
    </row>
    <row r="908" spans="1:24">
      <c r="A908" t="s">
        <v>2763</v>
      </c>
      <c r="B908" t="s">
        <v>2764</v>
      </c>
      <c r="C908" t="s">
        <v>35</v>
      </c>
      <c r="D908">
        <v>0.824</v>
      </c>
      <c r="E908">
        <v>7090</v>
      </c>
      <c r="F908">
        <v>15</v>
      </c>
      <c r="G908" t="s">
        <v>62</v>
      </c>
      <c r="H908" t="s">
        <v>2765</v>
      </c>
      <c r="I908" t="s">
        <v>29</v>
      </c>
      <c r="J908" t="s">
        <v>30</v>
      </c>
      <c r="K908" t="s">
        <v>31</v>
      </c>
      <c r="L908" t="s">
        <v>31</v>
      </c>
      <c r="M908" t="s">
        <v>97</v>
      </c>
      <c r="N908">
        <v>3</v>
      </c>
      <c r="O908">
        <v>4</v>
      </c>
      <c r="P908">
        <v>1</v>
      </c>
      <c r="Q908">
        <v>8604.368932038835</v>
      </c>
      <c r="R908">
        <v>18.20388349514563</v>
      </c>
      <c r="S908">
        <v>472.6666666666667</v>
      </c>
      <c r="T908">
        <v>0</v>
      </c>
      <c r="U908">
        <v>1</v>
      </c>
      <c r="V908">
        <v>0</v>
      </c>
      <c r="W908">
        <v>8.866581653303996</v>
      </c>
      <c r="X908">
        <v>0</v>
      </c>
    </row>
    <row r="909" spans="1:24">
      <c r="A909" t="s">
        <v>2766</v>
      </c>
      <c r="B909" t="s">
        <v>2767</v>
      </c>
      <c r="C909" t="s">
        <v>35</v>
      </c>
      <c r="D909">
        <v>4.194</v>
      </c>
      <c r="E909">
        <v>2671</v>
      </c>
      <c r="F909">
        <v>12</v>
      </c>
      <c r="G909" t="s">
        <v>36</v>
      </c>
      <c r="H909" t="s">
        <v>2768</v>
      </c>
      <c r="I909" t="s">
        <v>29</v>
      </c>
      <c r="J909" t="s">
        <v>38</v>
      </c>
      <c r="K909" t="s">
        <v>30</v>
      </c>
      <c r="L909" t="s">
        <v>30</v>
      </c>
      <c r="M909" t="s">
        <v>44</v>
      </c>
      <c r="N909">
        <v>3</v>
      </c>
      <c r="O909">
        <v>4</v>
      </c>
      <c r="P909">
        <v>1</v>
      </c>
      <c r="Q909">
        <v>636.8621840724845</v>
      </c>
      <c r="R909">
        <v>2.861230329041488</v>
      </c>
      <c r="S909">
        <v>222.5833333333333</v>
      </c>
      <c r="T909">
        <v>0</v>
      </c>
      <c r="U909">
        <v>1</v>
      </c>
      <c r="V909">
        <v>0</v>
      </c>
      <c r="W909">
        <v>7.890582534656536</v>
      </c>
      <c r="X909">
        <v>0</v>
      </c>
    </row>
    <row r="910" spans="1:24">
      <c r="A910" t="s">
        <v>2769</v>
      </c>
      <c r="B910" t="s">
        <v>2770</v>
      </c>
      <c r="C910" t="s">
        <v>26</v>
      </c>
      <c r="D910">
        <v>2.44</v>
      </c>
      <c r="E910">
        <v>4071</v>
      </c>
      <c r="F910">
        <v>16</v>
      </c>
      <c r="G910" t="s">
        <v>62</v>
      </c>
      <c r="H910" t="s">
        <v>2771</v>
      </c>
      <c r="I910" t="s">
        <v>29</v>
      </c>
      <c r="J910" t="s">
        <v>30</v>
      </c>
      <c r="K910" t="s">
        <v>31</v>
      </c>
      <c r="L910" t="s">
        <v>30</v>
      </c>
      <c r="M910" t="s">
        <v>97</v>
      </c>
      <c r="N910">
        <v>3</v>
      </c>
      <c r="O910">
        <v>4</v>
      </c>
      <c r="P910">
        <v>1</v>
      </c>
      <c r="Q910">
        <v>1668.44262295082</v>
      </c>
      <c r="R910">
        <v>6.557377049180328</v>
      </c>
      <c r="S910">
        <v>254.4375</v>
      </c>
      <c r="T910">
        <v>0</v>
      </c>
      <c r="U910">
        <v>1</v>
      </c>
      <c r="V910">
        <v>0</v>
      </c>
      <c r="W910">
        <v>8.311889558230359</v>
      </c>
      <c r="X910">
        <v>0</v>
      </c>
    </row>
    <row r="911" spans="1:24">
      <c r="A911" t="s">
        <v>2772</v>
      </c>
      <c r="B911" t="s">
        <v>2773</v>
      </c>
      <c r="C911" t="s">
        <v>26</v>
      </c>
      <c r="D911">
        <v>2.053</v>
      </c>
      <c r="E911">
        <v>802</v>
      </c>
      <c r="F911">
        <v>15</v>
      </c>
      <c r="G911" t="s">
        <v>47</v>
      </c>
      <c r="H911" t="s">
        <v>2774</v>
      </c>
      <c r="I911" t="s">
        <v>29</v>
      </c>
      <c r="J911" t="s">
        <v>31</v>
      </c>
      <c r="K911" t="s">
        <v>30</v>
      </c>
      <c r="L911" t="s">
        <v>31</v>
      </c>
      <c r="M911" t="s">
        <v>44</v>
      </c>
      <c r="N911">
        <v>3</v>
      </c>
      <c r="O911">
        <v>4</v>
      </c>
      <c r="P911">
        <v>1</v>
      </c>
      <c r="Q911">
        <v>390.6478324403312</v>
      </c>
      <c r="R911">
        <v>7.306380905991232</v>
      </c>
      <c r="S911">
        <v>53.46666666666667</v>
      </c>
      <c r="T911">
        <v>0</v>
      </c>
      <c r="U911">
        <v>1</v>
      </c>
      <c r="V911">
        <v>0</v>
      </c>
      <c r="W911">
        <v>6.688354713946762</v>
      </c>
      <c r="X911">
        <v>0</v>
      </c>
    </row>
    <row r="912" spans="1:24">
      <c r="A912" t="s">
        <v>2775</v>
      </c>
      <c r="B912" t="s">
        <v>2776</v>
      </c>
      <c r="C912" t="s">
        <v>52</v>
      </c>
      <c r="D912">
        <v>1.457</v>
      </c>
      <c r="E912">
        <v>8337</v>
      </c>
      <c r="F912">
        <v>15</v>
      </c>
      <c r="G912" t="s">
        <v>36</v>
      </c>
      <c r="H912" t="s">
        <v>2777</v>
      </c>
      <c r="I912" t="s">
        <v>29</v>
      </c>
      <c r="J912" t="s">
        <v>38</v>
      </c>
      <c r="K912" t="s">
        <v>30</v>
      </c>
      <c r="L912" t="s">
        <v>31</v>
      </c>
      <c r="M912" t="s">
        <v>44</v>
      </c>
      <c r="N912">
        <v>3</v>
      </c>
      <c r="O912">
        <v>4</v>
      </c>
      <c r="P912">
        <v>1</v>
      </c>
      <c r="Q912">
        <v>5722.031571722718</v>
      </c>
      <c r="R912">
        <v>10.29512697323267</v>
      </c>
      <c r="S912">
        <v>555.8</v>
      </c>
      <c r="T912">
        <v>0</v>
      </c>
      <c r="U912">
        <v>1</v>
      </c>
      <c r="V912">
        <v>0</v>
      </c>
      <c r="W912">
        <v>9.02857865844074</v>
      </c>
      <c r="X912">
        <v>0</v>
      </c>
    </row>
    <row r="913" spans="1:24">
      <c r="A913" t="s">
        <v>2778</v>
      </c>
      <c r="B913" t="s">
        <v>2779</v>
      </c>
      <c r="C913" t="s">
        <v>35</v>
      </c>
      <c r="D913">
        <v>3.02</v>
      </c>
      <c r="E913">
        <v>1801</v>
      </c>
      <c r="F913">
        <v>19</v>
      </c>
      <c r="G913" t="s">
        <v>47</v>
      </c>
      <c r="H913" t="s">
        <v>2780</v>
      </c>
      <c r="I913" t="s">
        <v>29</v>
      </c>
      <c r="J913" t="s">
        <v>31</v>
      </c>
      <c r="K913" t="s">
        <v>38</v>
      </c>
      <c r="L913" t="s">
        <v>31</v>
      </c>
      <c r="M913" t="s">
        <v>44</v>
      </c>
      <c r="N913">
        <v>3</v>
      </c>
      <c r="O913">
        <v>4</v>
      </c>
      <c r="P913">
        <v>1</v>
      </c>
      <c r="Q913">
        <v>596.3576158940398</v>
      </c>
      <c r="R913">
        <v>6.291390728476821</v>
      </c>
      <c r="S913">
        <v>94.78947368421052</v>
      </c>
      <c r="T913">
        <v>0</v>
      </c>
      <c r="U913">
        <v>1</v>
      </c>
      <c r="V913">
        <v>0</v>
      </c>
      <c r="W913">
        <v>7.496652438168283</v>
      </c>
      <c r="X913">
        <v>0</v>
      </c>
    </row>
    <row r="914" spans="1:24">
      <c r="A914" t="s">
        <v>2781</v>
      </c>
      <c r="B914" t="s">
        <v>2782</v>
      </c>
      <c r="C914" t="s">
        <v>35</v>
      </c>
      <c r="D914">
        <v>2.09</v>
      </c>
      <c r="E914">
        <v>1689</v>
      </c>
      <c r="F914">
        <v>10</v>
      </c>
      <c r="G914" t="s">
        <v>27</v>
      </c>
      <c r="H914" t="s">
        <v>2783</v>
      </c>
      <c r="I914" t="s">
        <v>29</v>
      </c>
      <c r="J914" t="s">
        <v>30</v>
      </c>
      <c r="K914" t="s">
        <v>30</v>
      </c>
      <c r="L914" t="s">
        <v>38</v>
      </c>
      <c r="M914" t="s">
        <v>97</v>
      </c>
      <c r="N914">
        <v>4</v>
      </c>
      <c r="O914">
        <v>4</v>
      </c>
      <c r="P914">
        <v>0</v>
      </c>
      <c r="Q914">
        <v>808.133971291866</v>
      </c>
      <c r="R914">
        <v>4.784688995215311</v>
      </c>
      <c r="S914">
        <v>168.9</v>
      </c>
      <c r="T914">
        <v>0</v>
      </c>
      <c r="U914">
        <v>1</v>
      </c>
      <c r="V914">
        <v>0</v>
      </c>
      <c r="W914">
        <v>7.432483807917119</v>
      </c>
      <c r="X914">
        <v>0</v>
      </c>
    </row>
    <row r="915" spans="1:24">
      <c r="A915" t="s">
        <v>2784</v>
      </c>
      <c r="B915" t="s">
        <v>2785</v>
      </c>
      <c r="C915" t="s">
        <v>35</v>
      </c>
      <c r="D915">
        <v>6.284</v>
      </c>
      <c r="E915">
        <v>4692</v>
      </c>
      <c r="F915">
        <v>16</v>
      </c>
      <c r="G915" t="s">
        <v>47</v>
      </c>
      <c r="H915" t="s">
        <v>2786</v>
      </c>
      <c r="I915" t="s">
        <v>29</v>
      </c>
      <c r="J915" t="s">
        <v>31</v>
      </c>
      <c r="K915" t="s">
        <v>30</v>
      </c>
      <c r="L915" t="s">
        <v>30</v>
      </c>
      <c r="M915" t="s">
        <v>76</v>
      </c>
      <c r="N915">
        <v>4</v>
      </c>
      <c r="O915">
        <v>4</v>
      </c>
      <c r="P915">
        <v>0</v>
      </c>
      <c r="Q915">
        <v>746.6581795035009</v>
      </c>
      <c r="R915">
        <v>2.546148949713559</v>
      </c>
      <c r="S915">
        <v>293.25</v>
      </c>
      <c r="T915">
        <v>0</v>
      </c>
      <c r="U915">
        <v>1</v>
      </c>
      <c r="V915">
        <v>0</v>
      </c>
      <c r="W915">
        <v>8.453827315794417</v>
      </c>
      <c r="X915">
        <v>0</v>
      </c>
    </row>
    <row r="916" spans="1:24">
      <c r="A916" t="s">
        <v>2787</v>
      </c>
      <c r="B916" t="s">
        <v>2788</v>
      </c>
      <c r="C916" t="s">
        <v>26</v>
      </c>
      <c r="D916">
        <v>5.932</v>
      </c>
      <c r="E916">
        <v>1128</v>
      </c>
      <c r="F916">
        <v>14</v>
      </c>
      <c r="G916" t="s">
        <v>62</v>
      </c>
      <c r="H916" t="s">
        <v>2789</v>
      </c>
      <c r="I916" t="s">
        <v>29</v>
      </c>
      <c r="J916" t="s">
        <v>30</v>
      </c>
      <c r="K916" t="s">
        <v>30</v>
      </c>
      <c r="L916" t="s">
        <v>30</v>
      </c>
      <c r="M916" t="s">
        <v>44</v>
      </c>
      <c r="N916">
        <v>4</v>
      </c>
      <c r="O916">
        <v>4</v>
      </c>
      <c r="P916">
        <v>0</v>
      </c>
      <c r="Q916">
        <v>190.1550910316925</v>
      </c>
      <c r="R916">
        <v>2.360080917060013</v>
      </c>
      <c r="S916">
        <v>80.57142857142857</v>
      </c>
      <c r="T916">
        <v>0</v>
      </c>
      <c r="U916">
        <v>1</v>
      </c>
      <c r="V916">
        <v>0</v>
      </c>
      <c r="W916">
        <v>7.029087564149662</v>
      </c>
      <c r="X916">
        <v>0</v>
      </c>
    </row>
    <row r="917" spans="1:24">
      <c r="A917" t="s">
        <v>2790</v>
      </c>
      <c r="B917" t="s">
        <v>2791</v>
      </c>
      <c r="C917" t="s">
        <v>35</v>
      </c>
      <c r="D917">
        <v>1.174</v>
      </c>
      <c r="E917">
        <v>2616</v>
      </c>
      <c r="F917">
        <v>25</v>
      </c>
      <c r="G917" t="s">
        <v>27</v>
      </c>
      <c r="H917" t="s">
        <v>2792</v>
      </c>
      <c r="I917" t="s">
        <v>29</v>
      </c>
      <c r="J917" t="s">
        <v>30</v>
      </c>
      <c r="K917" t="s">
        <v>30</v>
      </c>
      <c r="L917" t="s">
        <v>31</v>
      </c>
      <c r="M917" t="s">
        <v>44</v>
      </c>
      <c r="N917">
        <v>4</v>
      </c>
      <c r="O917">
        <v>4</v>
      </c>
      <c r="P917">
        <v>0</v>
      </c>
      <c r="Q917">
        <v>2228.279386712095</v>
      </c>
      <c r="R917">
        <v>21.2947189097104</v>
      </c>
      <c r="S917">
        <v>104.64</v>
      </c>
      <c r="T917">
        <v>0</v>
      </c>
      <c r="U917">
        <v>1</v>
      </c>
      <c r="V917">
        <v>0</v>
      </c>
      <c r="W917">
        <v>7.869783902530146</v>
      </c>
      <c r="X917">
        <v>0</v>
      </c>
    </row>
    <row r="918" spans="1:24">
      <c r="A918" t="s">
        <v>2793</v>
      </c>
      <c r="B918" t="s">
        <v>2794</v>
      </c>
      <c r="C918" t="s">
        <v>26</v>
      </c>
      <c r="D918">
        <v>5.072</v>
      </c>
      <c r="E918">
        <v>310</v>
      </c>
      <c r="F918">
        <v>15</v>
      </c>
      <c r="G918" t="s">
        <v>36</v>
      </c>
      <c r="H918" t="s">
        <v>2795</v>
      </c>
      <c r="I918" t="s">
        <v>29</v>
      </c>
      <c r="J918" t="s">
        <v>38</v>
      </c>
      <c r="K918" t="s">
        <v>30</v>
      </c>
      <c r="L918" t="s">
        <v>30</v>
      </c>
      <c r="M918" t="s">
        <v>32</v>
      </c>
      <c r="N918">
        <v>4</v>
      </c>
      <c r="O918">
        <v>4</v>
      </c>
      <c r="P918">
        <v>0</v>
      </c>
      <c r="Q918">
        <v>61.1198738170347</v>
      </c>
      <c r="R918">
        <v>2.957413249211356</v>
      </c>
      <c r="S918">
        <v>20.66666666666667</v>
      </c>
      <c r="T918">
        <v>0</v>
      </c>
      <c r="U918">
        <v>1</v>
      </c>
      <c r="V918">
        <v>0</v>
      </c>
      <c r="W918">
        <v>5.739792912179234</v>
      </c>
      <c r="X918">
        <v>0</v>
      </c>
    </row>
    <row r="919" spans="1:24">
      <c r="A919" t="s">
        <v>2796</v>
      </c>
      <c r="B919" t="s">
        <v>2797</v>
      </c>
      <c r="C919" t="s">
        <v>26</v>
      </c>
      <c r="D919">
        <v>10.398</v>
      </c>
      <c r="E919">
        <v>364</v>
      </c>
      <c r="F919">
        <v>10</v>
      </c>
      <c r="G919" t="s">
        <v>36</v>
      </c>
      <c r="H919" t="s">
        <v>2798</v>
      </c>
      <c r="I919" t="s">
        <v>29</v>
      </c>
      <c r="J919" t="s">
        <v>38</v>
      </c>
      <c r="K919" t="s">
        <v>30</v>
      </c>
      <c r="L919" t="s">
        <v>31</v>
      </c>
      <c r="M919" t="s">
        <v>83</v>
      </c>
      <c r="N919">
        <v>4</v>
      </c>
      <c r="O919">
        <v>4</v>
      </c>
      <c r="P919">
        <v>0</v>
      </c>
      <c r="Q919">
        <v>35.00673206385844</v>
      </c>
      <c r="R919">
        <v>0.9617234083477592</v>
      </c>
      <c r="S919">
        <v>36.4</v>
      </c>
      <c r="T919">
        <v>0</v>
      </c>
      <c r="U919">
        <v>1</v>
      </c>
      <c r="V919">
        <v>0</v>
      </c>
      <c r="W919">
        <v>5.899897353582492</v>
      </c>
      <c r="X919">
        <v>0</v>
      </c>
    </row>
    <row r="920" spans="1:24">
      <c r="A920" t="s">
        <v>2799</v>
      </c>
      <c r="B920" t="s">
        <v>2800</v>
      </c>
      <c r="C920" t="s">
        <v>35</v>
      </c>
      <c r="D920">
        <v>5.918</v>
      </c>
      <c r="E920">
        <v>4664</v>
      </c>
      <c r="F920">
        <v>18</v>
      </c>
      <c r="G920" t="s">
        <v>47</v>
      </c>
      <c r="H920" t="s">
        <v>2801</v>
      </c>
      <c r="I920" t="s">
        <v>29</v>
      </c>
      <c r="J920" t="s">
        <v>31</v>
      </c>
      <c r="K920" t="s">
        <v>31</v>
      </c>
      <c r="L920" t="s">
        <v>31</v>
      </c>
      <c r="M920" t="s">
        <v>44</v>
      </c>
      <c r="N920">
        <v>4</v>
      </c>
      <c r="O920">
        <v>4</v>
      </c>
      <c r="P920">
        <v>0</v>
      </c>
      <c r="Q920">
        <v>788.1040892193308</v>
      </c>
      <c r="R920">
        <v>3.041568097330179</v>
      </c>
      <c r="S920">
        <v>259.1111111111111</v>
      </c>
      <c r="T920">
        <v>0</v>
      </c>
      <c r="U920">
        <v>1</v>
      </c>
      <c r="V920">
        <v>0</v>
      </c>
      <c r="W920">
        <v>8.447843113281444</v>
      </c>
      <c r="X920">
        <v>0</v>
      </c>
    </row>
    <row r="921" spans="1:24">
      <c r="A921" t="s">
        <v>2802</v>
      </c>
      <c r="B921" t="s">
        <v>2803</v>
      </c>
      <c r="C921" t="s">
        <v>35</v>
      </c>
      <c r="D921">
        <v>1.035</v>
      </c>
      <c r="E921">
        <v>1698</v>
      </c>
      <c r="F921">
        <v>11</v>
      </c>
      <c r="G921" t="s">
        <v>62</v>
      </c>
      <c r="H921" t="s">
        <v>2804</v>
      </c>
      <c r="I921" t="s">
        <v>29</v>
      </c>
      <c r="J921" t="s">
        <v>30</v>
      </c>
      <c r="K921" t="s">
        <v>31</v>
      </c>
      <c r="L921" t="s">
        <v>31</v>
      </c>
      <c r="M921" t="s">
        <v>39</v>
      </c>
      <c r="N921">
        <v>4</v>
      </c>
      <c r="O921">
        <v>4</v>
      </c>
      <c r="P921">
        <v>0</v>
      </c>
      <c r="Q921">
        <v>1640.579710144928</v>
      </c>
      <c r="R921">
        <v>10.6280193236715</v>
      </c>
      <c r="S921">
        <v>154.3636363636364</v>
      </c>
      <c r="T921">
        <v>0</v>
      </c>
      <c r="U921">
        <v>1</v>
      </c>
      <c r="V921">
        <v>0</v>
      </c>
      <c r="W921">
        <v>7.437795121671932</v>
      </c>
      <c r="X921">
        <v>0</v>
      </c>
    </row>
    <row r="922" spans="1:24">
      <c r="A922" t="s">
        <v>2805</v>
      </c>
      <c r="B922" t="s">
        <v>2806</v>
      </c>
      <c r="C922" t="s">
        <v>26</v>
      </c>
      <c r="D922">
        <v>1.862</v>
      </c>
      <c r="E922">
        <v>5585</v>
      </c>
      <c r="F922">
        <v>21</v>
      </c>
      <c r="G922" t="s">
        <v>62</v>
      </c>
      <c r="H922" t="s">
        <v>2807</v>
      </c>
      <c r="I922" t="s">
        <v>29</v>
      </c>
      <c r="J922" t="s">
        <v>30</v>
      </c>
      <c r="K922" t="s">
        <v>31</v>
      </c>
      <c r="L922" t="s">
        <v>30</v>
      </c>
      <c r="M922" t="s">
        <v>32</v>
      </c>
      <c r="N922">
        <v>4</v>
      </c>
      <c r="O922">
        <v>4</v>
      </c>
      <c r="P922">
        <v>0</v>
      </c>
      <c r="Q922">
        <v>2999.462943071966</v>
      </c>
      <c r="R922">
        <v>11.2781954887218</v>
      </c>
      <c r="S922">
        <v>265.952380952381</v>
      </c>
      <c r="T922">
        <v>0</v>
      </c>
      <c r="U922">
        <v>1</v>
      </c>
      <c r="V922">
        <v>0</v>
      </c>
      <c r="W922">
        <v>8.628018746505122</v>
      </c>
      <c r="X922">
        <v>0</v>
      </c>
    </row>
    <row r="923" spans="1:24">
      <c r="A923" t="s">
        <v>2808</v>
      </c>
      <c r="B923" t="s">
        <v>2809</v>
      </c>
      <c r="C923" t="s">
        <v>35</v>
      </c>
      <c r="D923">
        <v>5.094</v>
      </c>
      <c r="E923">
        <v>3649</v>
      </c>
      <c r="F923">
        <v>22</v>
      </c>
      <c r="G923" t="s">
        <v>27</v>
      </c>
      <c r="H923" t="s">
        <v>2810</v>
      </c>
      <c r="I923" t="s">
        <v>29</v>
      </c>
      <c r="J923" t="s">
        <v>30</v>
      </c>
      <c r="K923" t="s">
        <v>30</v>
      </c>
      <c r="L923" t="s">
        <v>31</v>
      </c>
      <c r="M923" t="s">
        <v>44</v>
      </c>
      <c r="N923">
        <v>4</v>
      </c>
      <c r="O923">
        <v>4</v>
      </c>
      <c r="P923">
        <v>0</v>
      </c>
      <c r="Q923">
        <v>716.3329407145661</v>
      </c>
      <c r="R923">
        <v>4.318806438947782</v>
      </c>
      <c r="S923">
        <v>165.8636363636364</v>
      </c>
      <c r="T923">
        <v>0</v>
      </c>
      <c r="U923">
        <v>1</v>
      </c>
      <c r="V923">
        <v>0</v>
      </c>
      <c r="W923">
        <v>8.202482446576537</v>
      </c>
      <c r="X923">
        <v>0</v>
      </c>
    </row>
    <row r="924" spans="1:24">
      <c r="A924" t="s">
        <v>2811</v>
      </c>
      <c r="B924" t="s">
        <v>2812</v>
      </c>
      <c r="C924" t="s">
        <v>26</v>
      </c>
      <c r="D924">
        <v>9.573</v>
      </c>
      <c r="E924">
        <v>4463</v>
      </c>
      <c r="F924">
        <v>20</v>
      </c>
      <c r="G924" t="s">
        <v>62</v>
      </c>
      <c r="H924" t="s">
        <v>2813</v>
      </c>
      <c r="I924" t="s">
        <v>29</v>
      </c>
      <c r="J924" t="s">
        <v>30</v>
      </c>
      <c r="K924" t="s">
        <v>31</v>
      </c>
      <c r="L924" t="s">
        <v>31</v>
      </c>
      <c r="M924" t="s">
        <v>97</v>
      </c>
      <c r="N924">
        <v>4</v>
      </c>
      <c r="O924">
        <v>4</v>
      </c>
      <c r="P924">
        <v>0</v>
      </c>
      <c r="Q924">
        <v>466.2070406351196</v>
      </c>
      <c r="R924">
        <v>2.089209234304815</v>
      </c>
      <c r="S924">
        <v>223.15</v>
      </c>
      <c r="T924">
        <v>0</v>
      </c>
      <c r="U924">
        <v>1</v>
      </c>
      <c r="V924">
        <v>0</v>
      </c>
      <c r="W924">
        <v>8.403800504061147</v>
      </c>
      <c r="X924">
        <v>0</v>
      </c>
    </row>
    <row r="925" spans="1:24">
      <c r="A925" t="s">
        <v>2814</v>
      </c>
      <c r="B925" t="s">
        <v>2815</v>
      </c>
      <c r="C925" t="s">
        <v>35</v>
      </c>
      <c r="D925">
        <v>2.06</v>
      </c>
      <c r="E925">
        <v>4238</v>
      </c>
      <c r="F925">
        <v>16</v>
      </c>
      <c r="G925" t="s">
        <v>36</v>
      </c>
      <c r="H925" t="s">
        <v>2816</v>
      </c>
      <c r="I925" t="s">
        <v>29</v>
      </c>
      <c r="J925" t="s">
        <v>38</v>
      </c>
      <c r="K925" t="s">
        <v>30</v>
      </c>
      <c r="L925" t="s">
        <v>31</v>
      </c>
      <c r="M925" t="s">
        <v>44</v>
      </c>
      <c r="N925">
        <v>4</v>
      </c>
      <c r="O925">
        <v>4</v>
      </c>
      <c r="P925">
        <v>0</v>
      </c>
      <c r="Q925">
        <v>2057.281553398058</v>
      </c>
      <c r="R925">
        <v>7.766990291262136</v>
      </c>
      <c r="S925">
        <v>264.875</v>
      </c>
      <c r="T925">
        <v>0</v>
      </c>
      <c r="U925">
        <v>1</v>
      </c>
      <c r="V925">
        <v>0</v>
      </c>
      <c r="W925">
        <v>8.352082671352637</v>
      </c>
      <c r="X925">
        <v>0</v>
      </c>
    </row>
    <row r="926" spans="1:24">
      <c r="A926" t="s">
        <v>2817</v>
      </c>
      <c r="B926" t="s">
        <v>2818</v>
      </c>
      <c r="C926" t="s">
        <v>35</v>
      </c>
      <c r="D926">
        <v>10.561</v>
      </c>
      <c r="E926">
        <v>523</v>
      </c>
      <c r="F926">
        <v>11</v>
      </c>
      <c r="G926" t="s">
        <v>36</v>
      </c>
      <c r="H926" t="s">
        <v>2819</v>
      </c>
      <c r="I926" t="s">
        <v>29</v>
      </c>
      <c r="J926" t="s">
        <v>38</v>
      </c>
      <c r="K926" t="s">
        <v>30</v>
      </c>
      <c r="L926" t="s">
        <v>31</v>
      </c>
      <c r="M926" t="s">
        <v>83</v>
      </c>
      <c r="N926">
        <v>5</v>
      </c>
      <c r="O926">
        <v>4</v>
      </c>
      <c r="P926">
        <v>0</v>
      </c>
      <c r="Q926">
        <v>49.52182558469842</v>
      </c>
      <c r="R926">
        <v>1.041568033330177</v>
      </c>
      <c r="S926">
        <v>47.54545454545455</v>
      </c>
      <c r="T926">
        <v>0</v>
      </c>
      <c r="U926">
        <v>1</v>
      </c>
      <c r="V926">
        <v>0</v>
      </c>
      <c r="W926">
        <v>6.261491684321042</v>
      </c>
      <c r="X926">
        <v>0</v>
      </c>
    </row>
    <row r="927" spans="1:24">
      <c r="A927" t="s">
        <v>2820</v>
      </c>
      <c r="B927" t="s">
        <v>2821</v>
      </c>
      <c r="C927" t="s">
        <v>26</v>
      </c>
      <c r="D927">
        <v>6.47</v>
      </c>
      <c r="E927">
        <v>2062</v>
      </c>
      <c r="F927">
        <v>16</v>
      </c>
      <c r="G927" t="s">
        <v>27</v>
      </c>
      <c r="H927" t="s">
        <v>2822</v>
      </c>
      <c r="I927" t="s">
        <v>29</v>
      </c>
      <c r="J927" t="s">
        <v>30</v>
      </c>
      <c r="K927" t="s">
        <v>30</v>
      </c>
      <c r="L927" t="s">
        <v>31</v>
      </c>
      <c r="M927" t="s">
        <v>83</v>
      </c>
      <c r="N927">
        <v>5</v>
      </c>
      <c r="O927">
        <v>4</v>
      </c>
      <c r="P927">
        <v>0</v>
      </c>
      <c r="Q927">
        <v>318.7017001545595</v>
      </c>
      <c r="R927">
        <v>2.472952086553323</v>
      </c>
      <c r="S927">
        <v>128.875</v>
      </c>
      <c r="T927">
        <v>0</v>
      </c>
      <c r="U927">
        <v>1</v>
      </c>
      <c r="V927">
        <v>0</v>
      </c>
      <c r="W927">
        <v>7.631916513071252</v>
      </c>
      <c r="X927">
        <v>0</v>
      </c>
    </row>
    <row r="928" spans="1:24">
      <c r="A928" t="s">
        <v>2823</v>
      </c>
      <c r="B928" t="s">
        <v>2824</v>
      </c>
      <c r="C928" t="s">
        <v>35</v>
      </c>
      <c r="D928">
        <v>3.17</v>
      </c>
      <c r="E928">
        <v>585</v>
      </c>
      <c r="F928">
        <v>13</v>
      </c>
      <c r="G928" t="s">
        <v>47</v>
      </c>
      <c r="H928" t="s">
        <v>2825</v>
      </c>
      <c r="I928" t="s">
        <v>29</v>
      </c>
      <c r="J928" t="s">
        <v>31</v>
      </c>
      <c r="K928" t="s">
        <v>38</v>
      </c>
      <c r="L928" t="s">
        <v>31</v>
      </c>
      <c r="M928" t="s">
        <v>97</v>
      </c>
      <c r="N928">
        <v>5</v>
      </c>
      <c r="O928">
        <v>4</v>
      </c>
      <c r="P928">
        <v>0</v>
      </c>
      <c r="Q928">
        <v>184.5425867507886</v>
      </c>
      <c r="R928">
        <v>4.100946372239748</v>
      </c>
      <c r="S928">
        <v>45</v>
      </c>
      <c r="T928">
        <v>0</v>
      </c>
      <c r="U928">
        <v>1</v>
      </c>
      <c r="V928">
        <v>0</v>
      </c>
      <c r="W928">
        <v>6.373319789577012</v>
      </c>
      <c r="X928">
        <v>0</v>
      </c>
    </row>
    <row r="929" spans="1:24">
      <c r="A929" t="s">
        <v>2826</v>
      </c>
      <c r="B929" t="s">
        <v>2827</v>
      </c>
      <c r="C929" t="s">
        <v>26</v>
      </c>
      <c r="D929">
        <v>1.566</v>
      </c>
      <c r="E929">
        <v>12963</v>
      </c>
      <c r="F929">
        <v>21</v>
      </c>
      <c r="G929" t="s">
        <v>36</v>
      </c>
      <c r="H929" t="s">
        <v>2828</v>
      </c>
      <c r="I929" t="s">
        <v>43</v>
      </c>
      <c r="J929" t="s">
        <v>38</v>
      </c>
      <c r="K929" t="s">
        <v>30</v>
      </c>
      <c r="L929" t="s">
        <v>30</v>
      </c>
      <c r="M929" t="s">
        <v>44</v>
      </c>
      <c r="N929">
        <v>5</v>
      </c>
      <c r="O929">
        <v>4</v>
      </c>
      <c r="P929">
        <v>0</v>
      </c>
      <c r="Q929">
        <v>8277.777777777777</v>
      </c>
      <c r="R929">
        <v>13.40996168582375</v>
      </c>
      <c r="S929">
        <v>617.2857142857143</v>
      </c>
      <c r="T929">
        <v>0</v>
      </c>
      <c r="U929">
        <v>1</v>
      </c>
      <c r="V929">
        <v>1</v>
      </c>
      <c r="W929">
        <v>9.469931564261438</v>
      </c>
      <c r="X929">
        <v>1</v>
      </c>
    </row>
    <row r="930" spans="1:24">
      <c r="A930" t="s">
        <v>2829</v>
      </c>
      <c r="B930" t="s">
        <v>2830</v>
      </c>
      <c r="C930" t="s">
        <v>35</v>
      </c>
      <c r="D930">
        <v>2.249</v>
      </c>
      <c r="E930">
        <v>2800</v>
      </c>
      <c r="F930">
        <v>16</v>
      </c>
      <c r="G930" t="s">
        <v>62</v>
      </c>
      <c r="H930" t="s">
        <v>2831</v>
      </c>
      <c r="I930" t="s">
        <v>29</v>
      </c>
      <c r="J930" t="s">
        <v>30</v>
      </c>
      <c r="K930" t="s">
        <v>30</v>
      </c>
      <c r="L930" t="s">
        <v>31</v>
      </c>
      <c r="M930" t="s">
        <v>97</v>
      </c>
      <c r="N930">
        <v>5</v>
      </c>
      <c r="O930">
        <v>4</v>
      </c>
      <c r="P930">
        <v>0</v>
      </c>
      <c r="Q930">
        <v>1244.997776789684</v>
      </c>
      <c r="R930">
        <v>7.114273010226767</v>
      </c>
      <c r="S930">
        <v>175</v>
      </c>
      <c r="T930">
        <v>0</v>
      </c>
      <c r="U930">
        <v>1</v>
      </c>
      <c r="V930">
        <v>0</v>
      </c>
      <c r="W930">
        <v>7.937731775260109</v>
      </c>
      <c r="X930">
        <v>0</v>
      </c>
    </row>
    <row r="931" spans="1:24">
      <c r="A931" t="s">
        <v>2832</v>
      </c>
      <c r="B931" t="s">
        <v>2833</v>
      </c>
      <c r="C931" t="s">
        <v>35</v>
      </c>
      <c r="D931">
        <v>6.371</v>
      </c>
      <c r="E931">
        <v>1343</v>
      </c>
      <c r="F931">
        <v>18</v>
      </c>
      <c r="G931" t="s">
        <v>36</v>
      </c>
      <c r="H931" t="s">
        <v>2834</v>
      </c>
      <c r="I931" t="s">
        <v>29</v>
      </c>
      <c r="J931" t="s">
        <v>38</v>
      </c>
      <c r="K931" t="s">
        <v>31</v>
      </c>
      <c r="L931" t="s">
        <v>30</v>
      </c>
      <c r="M931" t="s">
        <v>44</v>
      </c>
      <c r="N931">
        <v>5</v>
      </c>
      <c r="O931">
        <v>4</v>
      </c>
      <c r="P931">
        <v>0</v>
      </c>
      <c r="Q931">
        <v>210.7989326636321</v>
      </c>
      <c r="R931">
        <v>2.825302150368859</v>
      </c>
      <c r="S931">
        <v>74.61111111111111</v>
      </c>
      <c r="T931">
        <v>0</v>
      </c>
      <c r="U931">
        <v>1</v>
      </c>
      <c r="V931">
        <v>0</v>
      </c>
      <c r="W931">
        <v>7.203405521083095</v>
      </c>
      <c r="X931">
        <v>0</v>
      </c>
    </row>
    <row r="932" spans="1:24">
      <c r="A932" t="s">
        <v>2835</v>
      </c>
      <c r="B932" t="s">
        <v>2836</v>
      </c>
      <c r="C932" t="s">
        <v>52</v>
      </c>
      <c r="D932">
        <v>4.957</v>
      </c>
      <c r="E932">
        <v>1039</v>
      </c>
      <c r="F932">
        <v>13</v>
      </c>
      <c r="G932" t="s">
        <v>47</v>
      </c>
      <c r="H932" t="s">
        <v>2837</v>
      </c>
      <c r="I932" t="s">
        <v>29</v>
      </c>
      <c r="J932" t="s">
        <v>31</v>
      </c>
      <c r="K932" t="s">
        <v>30</v>
      </c>
      <c r="L932" t="s">
        <v>30</v>
      </c>
      <c r="M932" t="s">
        <v>44</v>
      </c>
      <c r="N932">
        <v>5</v>
      </c>
      <c r="O932">
        <v>4</v>
      </c>
      <c r="P932">
        <v>0</v>
      </c>
      <c r="Q932">
        <v>209.60258220698</v>
      </c>
      <c r="R932">
        <v>2.622553964091184</v>
      </c>
      <c r="S932">
        <v>79.92307692307692</v>
      </c>
      <c r="T932">
        <v>0</v>
      </c>
      <c r="U932">
        <v>1</v>
      </c>
      <c r="V932">
        <v>0</v>
      </c>
      <c r="W932">
        <v>6.946975992135418</v>
      </c>
      <c r="X932">
        <v>0</v>
      </c>
    </row>
    <row r="933" spans="1:24">
      <c r="A933" t="s">
        <v>2838</v>
      </c>
      <c r="B933" t="s">
        <v>2839</v>
      </c>
      <c r="C933" t="s">
        <v>52</v>
      </c>
      <c r="D933">
        <v>7.774</v>
      </c>
      <c r="E933">
        <v>2493</v>
      </c>
      <c r="F933">
        <v>22</v>
      </c>
      <c r="G933" t="s">
        <v>47</v>
      </c>
      <c r="H933" t="s">
        <v>2840</v>
      </c>
      <c r="I933" t="s">
        <v>29</v>
      </c>
      <c r="J933" t="s">
        <v>31</v>
      </c>
      <c r="K933" t="s">
        <v>30</v>
      </c>
      <c r="L933" t="s">
        <v>30</v>
      </c>
      <c r="M933" t="s">
        <v>39</v>
      </c>
      <c r="N933">
        <v>5</v>
      </c>
      <c r="O933">
        <v>4</v>
      </c>
      <c r="P933">
        <v>0</v>
      </c>
      <c r="Q933">
        <v>320.684332390018</v>
      </c>
      <c r="R933">
        <v>2.829945973758683</v>
      </c>
      <c r="S933">
        <v>113.3181818181818</v>
      </c>
      <c r="T933">
        <v>0</v>
      </c>
      <c r="U933">
        <v>1</v>
      </c>
      <c r="V933">
        <v>0</v>
      </c>
      <c r="W933">
        <v>7.821643126239982</v>
      </c>
      <c r="X933">
        <v>0</v>
      </c>
    </row>
    <row r="934" spans="1:24">
      <c r="A934" t="s">
        <v>2841</v>
      </c>
      <c r="B934" t="s">
        <v>2842</v>
      </c>
      <c r="C934" t="s">
        <v>35</v>
      </c>
      <c r="D934">
        <v>3.081</v>
      </c>
      <c r="E934">
        <v>5249</v>
      </c>
      <c r="F934">
        <v>16</v>
      </c>
      <c r="G934" t="s">
        <v>47</v>
      </c>
      <c r="H934" t="s">
        <v>2843</v>
      </c>
      <c r="I934" t="s">
        <v>29</v>
      </c>
      <c r="J934" t="s">
        <v>31</v>
      </c>
      <c r="K934" t="s">
        <v>30</v>
      </c>
      <c r="L934" t="s">
        <v>31</v>
      </c>
      <c r="M934" t="s">
        <v>44</v>
      </c>
      <c r="N934">
        <v>5</v>
      </c>
      <c r="O934">
        <v>4</v>
      </c>
      <c r="P934">
        <v>0</v>
      </c>
      <c r="Q934">
        <v>1703.667640376501</v>
      </c>
      <c r="R934">
        <v>5.19311911716975</v>
      </c>
      <c r="S934">
        <v>328.0625</v>
      </c>
      <c r="T934">
        <v>0</v>
      </c>
      <c r="U934">
        <v>1</v>
      </c>
      <c r="V934">
        <v>0</v>
      </c>
      <c r="W934">
        <v>8.565983355585669</v>
      </c>
      <c r="X934">
        <v>0</v>
      </c>
    </row>
    <row r="935" spans="1:24">
      <c r="A935" t="s">
        <v>2844</v>
      </c>
      <c r="B935" t="s">
        <v>2845</v>
      </c>
      <c r="C935" t="s">
        <v>130</v>
      </c>
      <c r="D935">
        <v>6.219</v>
      </c>
      <c r="E935">
        <v>4073</v>
      </c>
      <c r="F935">
        <v>19</v>
      </c>
      <c r="G935" t="s">
        <v>27</v>
      </c>
      <c r="H935" t="s">
        <v>2846</v>
      </c>
      <c r="I935" t="s">
        <v>29</v>
      </c>
      <c r="J935" t="s">
        <v>30</v>
      </c>
      <c r="K935" t="s">
        <v>30</v>
      </c>
      <c r="L935" t="s">
        <v>31</v>
      </c>
      <c r="M935" t="s">
        <v>97</v>
      </c>
      <c r="N935">
        <v>5</v>
      </c>
      <c r="O935">
        <v>4</v>
      </c>
      <c r="P935">
        <v>0</v>
      </c>
      <c r="Q935">
        <v>654.9284450876346</v>
      </c>
      <c r="R935">
        <v>3.055153561665862</v>
      </c>
      <c r="S935">
        <v>214.3684210526316</v>
      </c>
      <c r="T935">
        <v>0</v>
      </c>
      <c r="U935">
        <v>1</v>
      </c>
      <c r="V935">
        <v>0</v>
      </c>
      <c r="W935">
        <v>8.312380596786751</v>
      </c>
      <c r="X935">
        <v>0</v>
      </c>
    </row>
    <row r="936" spans="1:24">
      <c r="A936" t="s">
        <v>2847</v>
      </c>
      <c r="B936" t="s">
        <v>2848</v>
      </c>
      <c r="C936" t="s">
        <v>35</v>
      </c>
      <c r="D936">
        <v>1.554</v>
      </c>
      <c r="E936">
        <v>2148</v>
      </c>
      <c r="F936">
        <v>13</v>
      </c>
      <c r="G936" t="s">
        <v>36</v>
      </c>
      <c r="H936" t="s">
        <v>2849</v>
      </c>
      <c r="I936" t="s">
        <v>29</v>
      </c>
      <c r="J936" t="s">
        <v>38</v>
      </c>
      <c r="K936" t="s">
        <v>31</v>
      </c>
      <c r="L936" t="s">
        <v>30</v>
      </c>
      <c r="M936" t="s">
        <v>32</v>
      </c>
      <c r="N936">
        <v>5</v>
      </c>
      <c r="O936">
        <v>4</v>
      </c>
      <c r="P936">
        <v>0</v>
      </c>
      <c r="Q936">
        <v>1382.239382239382</v>
      </c>
      <c r="R936">
        <v>8.365508365508365</v>
      </c>
      <c r="S936">
        <v>165.2307692307692</v>
      </c>
      <c r="T936">
        <v>0</v>
      </c>
      <c r="U936">
        <v>1</v>
      </c>
      <c r="V936">
        <v>0</v>
      </c>
      <c r="W936">
        <v>7.67275789664251</v>
      </c>
      <c r="X936">
        <v>0</v>
      </c>
    </row>
    <row r="937" spans="1:24">
      <c r="A937" t="s">
        <v>2850</v>
      </c>
      <c r="B937" t="s">
        <v>2851</v>
      </c>
      <c r="C937" t="s">
        <v>35</v>
      </c>
      <c r="D937">
        <v>4.353</v>
      </c>
      <c r="E937">
        <v>1276</v>
      </c>
      <c r="F937">
        <v>15</v>
      </c>
      <c r="G937" t="s">
        <v>27</v>
      </c>
      <c r="H937" t="s">
        <v>2852</v>
      </c>
      <c r="I937" t="s">
        <v>29</v>
      </c>
      <c r="J937" t="s">
        <v>30</v>
      </c>
      <c r="K937" t="s">
        <v>38</v>
      </c>
      <c r="L937" t="s">
        <v>30</v>
      </c>
      <c r="M937" t="s">
        <v>97</v>
      </c>
      <c r="N937">
        <v>5</v>
      </c>
      <c r="O937">
        <v>4</v>
      </c>
      <c r="P937">
        <v>0</v>
      </c>
      <c r="Q937">
        <v>293.1311739030554</v>
      </c>
      <c r="R937">
        <v>3.445899379738112</v>
      </c>
      <c r="S937">
        <v>85.06666666666666</v>
      </c>
      <c r="T937">
        <v>0</v>
      </c>
      <c r="U937">
        <v>1</v>
      </c>
      <c r="V937">
        <v>0</v>
      </c>
      <c r="W937">
        <v>7.152268856032539</v>
      </c>
      <c r="X937">
        <v>0</v>
      </c>
    </row>
    <row r="938" spans="1:24">
      <c r="A938" t="s">
        <v>2853</v>
      </c>
      <c r="B938" t="s">
        <v>2854</v>
      </c>
      <c r="C938" t="s">
        <v>26</v>
      </c>
      <c r="D938">
        <v>4.687</v>
      </c>
      <c r="E938">
        <v>1239</v>
      </c>
      <c r="F938">
        <v>17</v>
      </c>
      <c r="G938" t="s">
        <v>36</v>
      </c>
      <c r="H938" t="s">
        <v>2855</v>
      </c>
      <c r="I938" t="s">
        <v>29</v>
      </c>
      <c r="J938" t="s">
        <v>38</v>
      </c>
      <c r="K938" t="s">
        <v>30</v>
      </c>
      <c r="L938" t="s">
        <v>31</v>
      </c>
      <c r="M938" t="s">
        <v>44</v>
      </c>
      <c r="N938">
        <v>6</v>
      </c>
      <c r="O938">
        <v>4</v>
      </c>
      <c r="P938">
        <v>0</v>
      </c>
      <c r="Q938">
        <v>264.3481971410284</v>
      </c>
      <c r="R938">
        <v>3.62705355237892</v>
      </c>
      <c r="S938">
        <v>72.88235294117646</v>
      </c>
      <c r="T938">
        <v>0</v>
      </c>
      <c r="U938">
        <v>0</v>
      </c>
      <c r="V938">
        <v>0</v>
      </c>
      <c r="W938">
        <v>7.122866658599083</v>
      </c>
      <c r="X938">
        <v>0</v>
      </c>
    </row>
    <row r="939" spans="1:24">
      <c r="A939" t="s">
        <v>2856</v>
      </c>
      <c r="B939" t="s">
        <v>2857</v>
      </c>
      <c r="C939" t="s">
        <v>35</v>
      </c>
      <c r="D939">
        <v>1.515</v>
      </c>
      <c r="E939">
        <v>4349</v>
      </c>
      <c r="F939">
        <v>19</v>
      </c>
      <c r="G939" t="s">
        <v>27</v>
      </c>
      <c r="H939" t="s">
        <v>2858</v>
      </c>
      <c r="I939" t="s">
        <v>29</v>
      </c>
      <c r="J939" t="s">
        <v>30</v>
      </c>
      <c r="K939" t="s">
        <v>30</v>
      </c>
      <c r="L939" t="s">
        <v>30</v>
      </c>
      <c r="M939" t="s">
        <v>32</v>
      </c>
      <c r="N939">
        <v>6</v>
      </c>
      <c r="O939">
        <v>4</v>
      </c>
      <c r="P939">
        <v>0</v>
      </c>
      <c r="Q939">
        <v>2870.627062706271</v>
      </c>
      <c r="R939">
        <v>12.54125412541254</v>
      </c>
      <c r="S939">
        <v>228.8947368421053</v>
      </c>
      <c r="T939">
        <v>0</v>
      </c>
      <c r="U939">
        <v>0</v>
      </c>
      <c r="V939">
        <v>0</v>
      </c>
      <c r="W939">
        <v>8.37793112408273</v>
      </c>
      <c r="X939">
        <v>0</v>
      </c>
    </row>
    <row r="940" spans="1:24">
      <c r="A940" t="s">
        <v>2859</v>
      </c>
      <c r="B940" t="s">
        <v>2860</v>
      </c>
      <c r="C940" t="s">
        <v>26</v>
      </c>
      <c r="D940">
        <v>3.839</v>
      </c>
      <c r="E940">
        <v>64830</v>
      </c>
      <c r="F940">
        <v>111</v>
      </c>
      <c r="G940" t="s">
        <v>27</v>
      </c>
      <c r="H940" t="s">
        <v>2861</v>
      </c>
      <c r="I940" t="s">
        <v>49</v>
      </c>
      <c r="J940" t="s">
        <v>30</v>
      </c>
      <c r="K940" t="s">
        <v>30</v>
      </c>
      <c r="L940" t="s">
        <v>31</v>
      </c>
      <c r="M940" t="s">
        <v>32</v>
      </c>
      <c r="N940">
        <v>6</v>
      </c>
      <c r="O940">
        <v>4</v>
      </c>
      <c r="P940">
        <v>0</v>
      </c>
      <c r="Q940">
        <v>16887.21021099245</v>
      </c>
      <c r="R940">
        <v>28.91377963011201</v>
      </c>
      <c r="S940">
        <v>584.0540540540541</v>
      </c>
      <c r="T940">
        <v>0</v>
      </c>
      <c r="U940">
        <v>0</v>
      </c>
      <c r="V940">
        <v>1</v>
      </c>
      <c r="W940">
        <v>11.07953916300766</v>
      </c>
      <c r="X940">
        <v>1</v>
      </c>
    </row>
    <row r="941" spans="1:24">
      <c r="A941" t="s">
        <v>2862</v>
      </c>
      <c r="B941" t="s">
        <v>2863</v>
      </c>
      <c r="C941" t="s">
        <v>26</v>
      </c>
      <c r="D941">
        <v>2.52</v>
      </c>
      <c r="E941">
        <v>4237</v>
      </c>
      <c r="F941">
        <v>15</v>
      </c>
      <c r="G941" t="s">
        <v>27</v>
      </c>
      <c r="H941" t="s">
        <v>2864</v>
      </c>
      <c r="I941" t="s">
        <v>29</v>
      </c>
      <c r="J941" t="s">
        <v>30</v>
      </c>
      <c r="K941" t="s">
        <v>30</v>
      </c>
      <c r="L941" t="s">
        <v>38</v>
      </c>
      <c r="M941" t="s">
        <v>44</v>
      </c>
      <c r="N941">
        <v>6</v>
      </c>
      <c r="O941">
        <v>4</v>
      </c>
      <c r="P941">
        <v>0</v>
      </c>
      <c r="Q941">
        <v>1681.349206349206</v>
      </c>
      <c r="R941">
        <v>5.952380952380953</v>
      </c>
      <c r="S941">
        <v>282.4666666666666</v>
      </c>
      <c r="T941">
        <v>0</v>
      </c>
      <c r="U941">
        <v>0</v>
      </c>
      <c r="V941">
        <v>0</v>
      </c>
      <c r="W941">
        <v>8.351846738828245</v>
      </c>
      <c r="X941">
        <v>0</v>
      </c>
    </row>
    <row r="942" spans="1:24">
      <c r="A942" t="s">
        <v>2865</v>
      </c>
      <c r="B942" t="s">
        <v>2866</v>
      </c>
      <c r="C942" t="s">
        <v>35</v>
      </c>
      <c r="D942">
        <v>0.967</v>
      </c>
      <c r="E942">
        <v>863</v>
      </c>
      <c r="F942">
        <v>20</v>
      </c>
      <c r="G942" t="s">
        <v>27</v>
      </c>
      <c r="H942" t="s">
        <v>2867</v>
      </c>
      <c r="I942" t="s">
        <v>29</v>
      </c>
      <c r="J942" t="s">
        <v>30</v>
      </c>
      <c r="K942" t="s">
        <v>30</v>
      </c>
      <c r="L942" t="s">
        <v>31</v>
      </c>
      <c r="M942" t="s">
        <v>76</v>
      </c>
      <c r="N942">
        <v>6</v>
      </c>
      <c r="O942">
        <v>4</v>
      </c>
      <c r="P942">
        <v>0</v>
      </c>
      <c r="Q942">
        <v>892.4508790072389</v>
      </c>
      <c r="R942">
        <v>20.68252326783868</v>
      </c>
      <c r="S942">
        <v>43.15</v>
      </c>
      <c r="T942">
        <v>0</v>
      </c>
      <c r="U942">
        <v>0</v>
      </c>
      <c r="V942">
        <v>0</v>
      </c>
      <c r="W942">
        <v>6.761572768804055</v>
      </c>
      <c r="X942">
        <v>0</v>
      </c>
    </row>
    <row r="943" spans="1:24">
      <c r="A943" t="s">
        <v>2868</v>
      </c>
      <c r="B943" t="s">
        <v>2869</v>
      </c>
      <c r="C943" t="s">
        <v>26</v>
      </c>
      <c r="D943">
        <v>5.615</v>
      </c>
      <c r="E943">
        <v>11383</v>
      </c>
      <c r="F943">
        <v>23</v>
      </c>
      <c r="G943" t="s">
        <v>36</v>
      </c>
      <c r="H943" t="s">
        <v>2870</v>
      </c>
      <c r="I943" t="s">
        <v>29</v>
      </c>
      <c r="J943" t="s">
        <v>38</v>
      </c>
      <c r="K943" t="s">
        <v>30</v>
      </c>
      <c r="L943" t="s">
        <v>38</v>
      </c>
      <c r="M943" t="s">
        <v>44</v>
      </c>
      <c r="N943">
        <v>6</v>
      </c>
      <c r="O943">
        <v>4</v>
      </c>
      <c r="P943">
        <v>0</v>
      </c>
      <c r="Q943">
        <v>2027.248441674087</v>
      </c>
      <c r="R943">
        <v>4.096170970614425</v>
      </c>
      <c r="S943">
        <v>494.9130434782609</v>
      </c>
      <c r="T943">
        <v>0</v>
      </c>
      <c r="U943">
        <v>0</v>
      </c>
      <c r="V943">
        <v>1</v>
      </c>
      <c r="W943">
        <v>9.339964139769688</v>
      </c>
      <c r="X943">
        <v>0</v>
      </c>
    </row>
    <row r="944" spans="1:24">
      <c r="A944" t="s">
        <v>2871</v>
      </c>
      <c r="B944" t="s">
        <v>2872</v>
      </c>
      <c r="C944" t="s">
        <v>35</v>
      </c>
      <c r="D944">
        <v>0.797</v>
      </c>
      <c r="E944">
        <v>91111</v>
      </c>
      <c r="F944">
        <v>134</v>
      </c>
      <c r="G944" t="s">
        <v>27</v>
      </c>
      <c r="H944" t="s">
        <v>2873</v>
      </c>
      <c r="I944" t="s">
        <v>49</v>
      </c>
      <c r="J944" t="s">
        <v>30</v>
      </c>
      <c r="K944" t="s">
        <v>31</v>
      </c>
      <c r="L944" t="s">
        <v>30</v>
      </c>
      <c r="M944" t="s">
        <v>44</v>
      </c>
      <c r="N944">
        <v>6</v>
      </c>
      <c r="O944">
        <v>4</v>
      </c>
      <c r="P944">
        <v>0</v>
      </c>
      <c r="Q944">
        <v>114317.4404015056</v>
      </c>
      <c r="R944">
        <v>168.1304893350063</v>
      </c>
      <c r="S944">
        <v>679.9328358208955</v>
      </c>
      <c r="T944">
        <v>0</v>
      </c>
      <c r="U944">
        <v>0</v>
      </c>
      <c r="V944">
        <v>1</v>
      </c>
      <c r="W944">
        <v>11.41984479795419</v>
      </c>
      <c r="X944">
        <v>1</v>
      </c>
    </row>
    <row r="945" spans="1:24">
      <c r="A945" t="s">
        <v>2874</v>
      </c>
      <c r="B945" t="s">
        <v>2875</v>
      </c>
      <c r="C945" t="s">
        <v>26</v>
      </c>
      <c r="D945">
        <v>4.027</v>
      </c>
      <c r="E945">
        <v>3621</v>
      </c>
      <c r="F945">
        <v>13</v>
      </c>
      <c r="G945" t="s">
        <v>62</v>
      </c>
      <c r="H945" t="s">
        <v>2876</v>
      </c>
      <c r="I945" t="s">
        <v>29</v>
      </c>
      <c r="J945" t="s">
        <v>30</v>
      </c>
      <c r="K945" t="s">
        <v>30</v>
      </c>
      <c r="L945" t="s">
        <v>38</v>
      </c>
      <c r="M945" t="s">
        <v>44</v>
      </c>
      <c r="N945">
        <v>6</v>
      </c>
      <c r="O945">
        <v>4</v>
      </c>
      <c r="P945">
        <v>0</v>
      </c>
      <c r="Q945">
        <v>899.1805314129625</v>
      </c>
      <c r="R945">
        <v>3.22820958529923</v>
      </c>
      <c r="S945">
        <v>278.5384615384615</v>
      </c>
      <c r="T945">
        <v>0</v>
      </c>
      <c r="U945">
        <v>0</v>
      </c>
      <c r="V945">
        <v>0</v>
      </c>
      <c r="W945">
        <v>8.194781638443359</v>
      </c>
      <c r="X945">
        <v>0</v>
      </c>
    </row>
    <row r="946" spans="1:24">
      <c r="A946" t="s">
        <v>2877</v>
      </c>
      <c r="B946" t="s">
        <v>2878</v>
      </c>
      <c r="C946" t="s">
        <v>52</v>
      </c>
      <c r="D946">
        <v>1.964</v>
      </c>
      <c r="E946">
        <v>2278</v>
      </c>
      <c r="F946">
        <v>19</v>
      </c>
      <c r="G946" t="s">
        <v>36</v>
      </c>
      <c r="H946" t="s">
        <v>2879</v>
      </c>
      <c r="I946" t="s">
        <v>29</v>
      </c>
      <c r="J946" t="s">
        <v>38</v>
      </c>
      <c r="K946" t="s">
        <v>30</v>
      </c>
      <c r="L946" t="s">
        <v>31</v>
      </c>
      <c r="M946" t="s">
        <v>44</v>
      </c>
      <c r="N946">
        <v>6</v>
      </c>
      <c r="O946">
        <v>4</v>
      </c>
      <c r="P946">
        <v>0</v>
      </c>
      <c r="Q946">
        <v>1159.877800407332</v>
      </c>
      <c r="R946">
        <v>9.674134419551937</v>
      </c>
      <c r="S946">
        <v>119.8947368421053</v>
      </c>
      <c r="T946">
        <v>0</v>
      </c>
      <c r="U946">
        <v>0</v>
      </c>
      <c r="V946">
        <v>0</v>
      </c>
      <c r="W946">
        <v>7.731492029245684</v>
      </c>
      <c r="X946">
        <v>0</v>
      </c>
    </row>
    <row r="947" spans="1:24">
      <c r="A947" t="s">
        <v>2880</v>
      </c>
      <c r="B947" t="s">
        <v>2881</v>
      </c>
      <c r="C947" t="s">
        <v>35</v>
      </c>
      <c r="D947">
        <v>8.117000000000001</v>
      </c>
      <c r="E947">
        <v>2574</v>
      </c>
      <c r="F947">
        <v>17</v>
      </c>
      <c r="G947" t="s">
        <v>47</v>
      </c>
      <c r="H947" t="s">
        <v>2882</v>
      </c>
      <c r="I947" t="s">
        <v>29</v>
      </c>
      <c r="J947" t="s">
        <v>31</v>
      </c>
      <c r="K947" t="s">
        <v>30</v>
      </c>
      <c r="L947" t="s">
        <v>31</v>
      </c>
      <c r="M947" t="s">
        <v>32</v>
      </c>
      <c r="N947">
        <v>6</v>
      </c>
      <c r="O947">
        <v>4</v>
      </c>
      <c r="P947">
        <v>0</v>
      </c>
      <c r="Q947">
        <v>317.1122335838364</v>
      </c>
      <c r="R947">
        <v>2.094369841074288</v>
      </c>
      <c r="S947">
        <v>151.4117647058823</v>
      </c>
      <c r="T947">
        <v>0</v>
      </c>
      <c r="U947">
        <v>0</v>
      </c>
      <c r="V947">
        <v>0</v>
      </c>
      <c r="W947">
        <v>7.853604813097837</v>
      </c>
      <c r="X947">
        <v>0</v>
      </c>
    </row>
    <row r="948" spans="1:24">
      <c r="A948" t="s">
        <v>2883</v>
      </c>
      <c r="B948" t="s">
        <v>2884</v>
      </c>
      <c r="C948" t="s">
        <v>26</v>
      </c>
      <c r="D948">
        <v>3.014</v>
      </c>
      <c r="E948">
        <v>3147</v>
      </c>
      <c r="F948">
        <v>12</v>
      </c>
      <c r="G948" t="s">
        <v>27</v>
      </c>
      <c r="H948" t="s">
        <v>2885</v>
      </c>
      <c r="I948" t="s">
        <v>29</v>
      </c>
      <c r="J948" t="s">
        <v>30</v>
      </c>
      <c r="K948" t="s">
        <v>30</v>
      </c>
      <c r="L948" t="s">
        <v>30</v>
      </c>
      <c r="M948" t="s">
        <v>32</v>
      </c>
      <c r="N948">
        <v>6</v>
      </c>
      <c r="O948">
        <v>4</v>
      </c>
      <c r="P948">
        <v>0</v>
      </c>
      <c r="Q948">
        <v>1044.127405441274</v>
      </c>
      <c r="R948">
        <v>3.981420039814201</v>
      </c>
      <c r="S948">
        <v>262.25</v>
      </c>
      <c r="T948">
        <v>0</v>
      </c>
      <c r="U948">
        <v>0</v>
      </c>
      <c r="V948">
        <v>0</v>
      </c>
      <c r="W948">
        <v>8.054522609537294</v>
      </c>
      <c r="X948">
        <v>0</v>
      </c>
    </row>
    <row r="949" spans="1:24">
      <c r="A949" t="s">
        <v>2886</v>
      </c>
      <c r="B949" t="s">
        <v>2887</v>
      </c>
      <c r="C949" t="s">
        <v>35</v>
      </c>
      <c r="D949">
        <v>0.632</v>
      </c>
      <c r="E949">
        <v>8679</v>
      </c>
      <c r="F949">
        <v>22</v>
      </c>
      <c r="G949" t="s">
        <v>27</v>
      </c>
      <c r="H949" t="s">
        <v>2888</v>
      </c>
      <c r="I949" t="s">
        <v>29</v>
      </c>
      <c r="J949" t="s">
        <v>30</v>
      </c>
      <c r="K949" t="s">
        <v>38</v>
      </c>
      <c r="L949" t="s">
        <v>30</v>
      </c>
      <c r="M949" t="s">
        <v>39</v>
      </c>
      <c r="N949">
        <v>6</v>
      </c>
      <c r="O949">
        <v>4</v>
      </c>
      <c r="P949">
        <v>0</v>
      </c>
      <c r="Q949">
        <v>13732.59493670886</v>
      </c>
      <c r="R949">
        <v>34.81012658227848</v>
      </c>
      <c r="S949">
        <v>394.5</v>
      </c>
      <c r="T949">
        <v>0</v>
      </c>
      <c r="U949">
        <v>0</v>
      </c>
      <c r="V949">
        <v>0</v>
      </c>
      <c r="W949">
        <v>9.068776807654396</v>
      </c>
      <c r="X949">
        <v>0</v>
      </c>
    </row>
    <row r="950" spans="1:24">
      <c r="A950" t="s">
        <v>2889</v>
      </c>
      <c r="B950" t="s">
        <v>2890</v>
      </c>
      <c r="C950" t="s">
        <v>35</v>
      </c>
      <c r="D950">
        <v>6.576</v>
      </c>
      <c r="E950">
        <v>2407</v>
      </c>
      <c r="F950">
        <v>11</v>
      </c>
      <c r="G950" t="s">
        <v>62</v>
      </c>
      <c r="H950" t="s">
        <v>2891</v>
      </c>
      <c r="I950" t="s">
        <v>29</v>
      </c>
      <c r="J950" t="s">
        <v>30</v>
      </c>
      <c r="K950" t="s">
        <v>30</v>
      </c>
      <c r="L950" t="s">
        <v>38</v>
      </c>
      <c r="M950" t="s">
        <v>44</v>
      </c>
      <c r="N950">
        <v>7</v>
      </c>
      <c r="O950">
        <v>4</v>
      </c>
      <c r="P950">
        <v>0</v>
      </c>
      <c r="Q950">
        <v>366.0279805352798</v>
      </c>
      <c r="R950">
        <v>1.672749391727494</v>
      </c>
      <c r="S950">
        <v>218.8181818181818</v>
      </c>
      <c r="T950">
        <v>0</v>
      </c>
      <c r="U950">
        <v>0</v>
      </c>
      <c r="V950">
        <v>0</v>
      </c>
      <c r="W950">
        <v>7.786551806428712</v>
      </c>
      <c r="X950">
        <v>0</v>
      </c>
    </row>
    <row r="951" spans="1:24">
      <c r="A951" t="s">
        <v>2892</v>
      </c>
      <c r="B951" t="s">
        <v>2893</v>
      </c>
      <c r="C951" t="s">
        <v>26</v>
      </c>
      <c r="D951">
        <v>2.96</v>
      </c>
      <c r="E951">
        <v>2416</v>
      </c>
      <c r="F951">
        <v>16</v>
      </c>
      <c r="G951" t="s">
        <v>27</v>
      </c>
      <c r="H951" t="s">
        <v>2894</v>
      </c>
      <c r="I951" t="s">
        <v>43</v>
      </c>
      <c r="J951" t="s">
        <v>30</v>
      </c>
      <c r="K951" t="s">
        <v>30</v>
      </c>
      <c r="L951" t="s">
        <v>31</v>
      </c>
      <c r="M951" t="s">
        <v>32</v>
      </c>
      <c r="N951">
        <v>7</v>
      </c>
      <c r="O951">
        <v>4</v>
      </c>
      <c r="P951">
        <v>0</v>
      </c>
      <c r="Q951">
        <v>816.2162162162163</v>
      </c>
      <c r="R951">
        <v>5.405405405405405</v>
      </c>
      <c r="S951">
        <v>151</v>
      </c>
      <c r="T951">
        <v>0</v>
      </c>
      <c r="U951">
        <v>0</v>
      </c>
      <c r="V951">
        <v>0</v>
      </c>
      <c r="W951">
        <v>7.790282380703483</v>
      </c>
      <c r="X951">
        <v>1</v>
      </c>
    </row>
    <row r="952" spans="1:24">
      <c r="A952" t="s">
        <v>2895</v>
      </c>
      <c r="B952" t="s">
        <v>2896</v>
      </c>
      <c r="C952" t="s">
        <v>35</v>
      </c>
      <c r="D952">
        <v>0.155</v>
      </c>
      <c r="E952">
        <v>2218</v>
      </c>
      <c r="F952">
        <v>4</v>
      </c>
      <c r="G952" t="s">
        <v>62</v>
      </c>
      <c r="H952" t="s">
        <v>2897</v>
      </c>
      <c r="I952" t="s">
        <v>90</v>
      </c>
      <c r="J952" t="s">
        <v>30</v>
      </c>
      <c r="K952" t="s">
        <v>30</v>
      </c>
      <c r="L952" t="s">
        <v>30</v>
      </c>
      <c r="M952" t="s">
        <v>83</v>
      </c>
      <c r="N952">
        <v>7</v>
      </c>
      <c r="O952">
        <v>4</v>
      </c>
      <c r="P952">
        <v>0</v>
      </c>
      <c r="Q952">
        <v>14309.67741935484</v>
      </c>
      <c r="R952">
        <v>25.80645161290323</v>
      </c>
      <c r="S952">
        <v>554.5</v>
      </c>
      <c r="T952">
        <v>0</v>
      </c>
      <c r="U952">
        <v>0</v>
      </c>
      <c r="V952">
        <v>0</v>
      </c>
      <c r="W952">
        <v>7.704811922932594</v>
      </c>
      <c r="X952">
        <v>1</v>
      </c>
    </row>
    <row r="953" spans="1:24">
      <c r="A953" t="s">
        <v>2898</v>
      </c>
      <c r="B953" t="s">
        <v>2899</v>
      </c>
      <c r="C953" t="s">
        <v>26</v>
      </c>
      <c r="D953">
        <v>3.132</v>
      </c>
      <c r="E953">
        <v>2805</v>
      </c>
      <c r="F953">
        <v>20</v>
      </c>
      <c r="G953" t="s">
        <v>36</v>
      </c>
      <c r="H953" t="s">
        <v>2900</v>
      </c>
      <c r="I953" t="s">
        <v>29</v>
      </c>
      <c r="J953" t="s">
        <v>38</v>
      </c>
      <c r="K953" t="s">
        <v>31</v>
      </c>
      <c r="L953" t="s">
        <v>30</v>
      </c>
      <c r="M953" t="s">
        <v>44</v>
      </c>
      <c r="N953">
        <v>7</v>
      </c>
      <c r="O953">
        <v>4</v>
      </c>
      <c r="P953">
        <v>0</v>
      </c>
      <c r="Q953">
        <v>895.5938697318007</v>
      </c>
      <c r="R953">
        <v>6.385696040868455</v>
      </c>
      <c r="S953">
        <v>140.25</v>
      </c>
      <c r="T953">
        <v>0</v>
      </c>
      <c r="U953">
        <v>0</v>
      </c>
      <c r="V953">
        <v>0</v>
      </c>
      <c r="W953">
        <v>7.939515260662406</v>
      </c>
      <c r="X953">
        <v>0</v>
      </c>
    </row>
    <row r="954" spans="1:24">
      <c r="A954" t="s">
        <v>2901</v>
      </c>
      <c r="B954" t="s">
        <v>2902</v>
      </c>
      <c r="C954" t="s">
        <v>35</v>
      </c>
      <c r="D954">
        <v>1.321</v>
      </c>
      <c r="E954">
        <v>1737</v>
      </c>
      <c r="F954">
        <v>16</v>
      </c>
      <c r="G954" t="s">
        <v>36</v>
      </c>
      <c r="H954" t="s">
        <v>2903</v>
      </c>
      <c r="I954" t="s">
        <v>29</v>
      </c>
      <c r="J954" t="s">
        <v>38</v>
      </c>
      <c r="K954" t="s">
        <v>31</v>
      </c>
      <c r="L954" t="s">
        <v>31</v>
      </c>
      <c r="M954" t="s">
        <v>44</v>
      </c>
      <c r="N954">
        <v>7</v>
      </c>
      <c r="O954">
        <v>4</v>
      </c>
      <c r="P954">
        <v>0</v>
      </c>
      <c r="Q954">
        <v>1314.912944738834</v>
      </c>
      <c r="R954">
        <v>12.11203633610901</v>
      </c>
      <c r="S954">
        <v>108.5625</v>
      </c>
      <c r="T954">
        <v>0</v>
      </c>
      <c r="U954">
        <v>0</v>
      </c>
      <c r="V954">
        <v>0</v>
      </c>
      <c r="W954">
        <v>7.460490305825338</v>
      </c>
      <c r="X954">
        <v>0</v>
      </c>
    </row>
    <row r="955" spans="1:24">
      <c r="A955" t="s">
        <v>2904</v>
      </c>
      <c r="B955" t="s">
        <v>2905</v>
      </c>
      <c r="C955" t="s">
        <v>130</v>
      </c>
      <c r="D955">
        <v>2.46</v>
      </c>
      <c r="E955">
        <v>1551</v>
      </c>
      <c r="F955">
        <v>13</v>
      </c>
      <c r="G955" t="s">
        <v>27</v>
      </c>
      <c r="H955" t="s">
        <v>2906</v>
      </c>
      <c r="I955" t="s">
        <v>29</v>
      </c>
      <c r="J955" t="s">
        <v>30</v>
      </c>
      <c r="K955" t="s">
        <v>31</v>
      </c>
      <c r="L955" t="s">
        <v>31</v>
      </c>
      <c r="M955" t="s">
        <v>32</v>
      </c>
      <c r="N955">
        <v>7</v>
      </c>
      <c r="O955">
        <v>4</v>
      </c>
      <c r="P955">
        <v>0</v>
      </c>
      <c r="Q955">
        <v>630.4878048780488</v>
      </c>
      <c r="R955">
        <v>5.284552845528455</v>
      </c>
      <c r="S955">
        <v>119.3076923076923</v>
      </c>
      <c r="T955">
        <v>0</v>
      </c>
      <c r="U955">
        <v>0</v>
      </c>
      <c r="V955">
        <v>0</v>
      </c>
      <c r="W955">
        <v>7.347299700743164</v>
      </c>
      <c r="X955">
        <v>0</v>
      </c>
    </row>
    <row r="956" spans="1:24">
      <c r="A956" t="s">
        <v>2907</v>
      </c>
      <c r="B956" t="s">
        <v>2908</v>
      </c>
      <c r="C956" t="s">
        <v>35</v>
      </c>
      <c r="D956">
        <v>0.73</v>
      </c>
      <c r="E956">
        <v>865</v>
      </c>
      <c r="F956">
        <v>18</v>
      </c>
      <c r="G956" t="s">
        <v>36</v>
      </c>
      <c r="H956" t="s">
        <v>2909</v>
      </c>
      <c r="I956" t="s">
        <v>29</v>
      </c>
      <c r="J956" t="s">
        <v>38</v>
      </c>
      <c r="K956" t="s">
        <v>31</v>
      </c>
      <c r="L956" t="s">
        <v>31</v>
      </c>
      <c r="M956" t="s">
        <v>76</v>
      </c>
      <c r="N956">
        <v>7</v>
      </c>
      <c r="O956">
        <v>4</v>
      </c>
      <c r="P956">
        <v>0</v>
      </c>
      <c r="Q956">
        <v>1184.931506849315</v>
      </c>
      <c r="R956">
        <v>24.65753424657534</v>
      </c>
      <c r="S956">
        <v>48.05555555555556</v>
      </c>
      <c r="T956">
        <v>0</v>
      </c>
      <c r="U956">
        <v>0</v>
      </c>
      <c r="V956">
        <v>0</v>
      </c>
      <c r="W956">
        <v>6.763884908562435</v>
      </c>
      <c r="X956">
        <v>0</v>
      </c>
    </row>
    <row r="957" spans="1:24">
      <c r="A957" t="s">
        <v>2910</v>
      </c>
      <c r="B957" t="s">
        <v>2911</v>
      </c>
      <c r="C957" t="s">
        <v>35</v>
      </c>
      <c r="D957">
        <v>2.873</v>
      </c>
      <c r="E957">
        <v>5004</v>
      </c>
      <c r="F957">
        <v>19</v>
      </c>
      <c r="G957" t="s">
        <v>27</v>
      </c>
      <c r="H957" t="s">
        <v>2912</v>
      </c>
      <c r="I957" t="s">
        <v>29</v>
      </c>
      <c r="J957" t="s">
        <v>30</v>
      </c>
      <c r="K957" t="s">
        <v>30</v>
      </c>
      <c r="L957" t="s">
        <v>31</v>
      </c>
      <c r="M957" t="s">
        <v>44</v>
      </c>
      <c r="N957">
        <v>7</v>
      </c>
      <c r="O957">
        <v>4</v>
      </c>
      <c r="P957">
        <v>0</v>
      </c>
      <c r="Q957">
        <v>1741.733379742429</v>
      </c>
      <c r="R957">
        <v>6.613296206056386</v>
      </c>
      <c r="S957">
        <v>263.3684210526316</v>
      </c>
      <c r="T957">
        <v>0</v>
      </c>
      <c r="U957">
        <v>0</v>
      </c>
      <c r="V957">
        <v>0</v>
      </c>
      <c r="W957">
        <v>8.518192691749322</v>
      </c>
      <c r="X957">
        <v>0</v>
      </c>
    </row>
    <row r="958" spans="1:24">
      <c r="A958" t="s">
        <v>2913</v>
      </c>
      <c r="B958" t="s">
        <v>2914</v>
      </c>
      <c r="C958" t="s">
        <v>26</v>
      </c>
      <c r="D958">
        <v>3.192</v>
      </c>
      <c r="E958">
        <v>1846</v>
      </c>
      <c r="F958">
        <v>14</v>
      </c>
      <c r="G958" t="s">
        <v>62</v>
      </c>
      <c r="H958" t="s">
        <v>2915</v>
      </c>
      <c r="I958" t="s">
        <v>29</v>
      </c>
      <c r="J958" t="s">
        <v>30</v>
      </c>
      <c r="K958" t="s">
        <v>30</v>
      </c>
      <c r="L958" t="s">
        <v>38</v>
      </c>
      <c r="M958" t="s">
        <v>97</v>
      </c>
      <c r="N958">
        <v>7</v>
      </c>
      <c r="O958">
        <v>4</v>
      </c>
      <c r="P958">
        <v>0</v>
      </c>
      <c r="Q958">
        <v>578.3208020050125</v>
      </c>
      <c r="R958">
        <v>4.385964912280701</v>
      </c>
      <c r="S958">
        <v>131.8571428571429</v>
      </c>
      <c r="T958">
        <v>0</v>
      </c>
      <c r="U958">
        <v>0</v>
      </c>
      <c r="V958">
        <v>0</v>
      </c>
      <c r="W958">
        <v>7.52131798019924</v>
      </c>
      <c r="X958">
        <v>0</v>
      </c>
    </row>
    <row r="959" spans="1:24">
      <c r="A959" t="s">
        <v>2916</v>
      </c>
      <c r="B959" t="s">
        <v>2917</v>
      </c>
      <c r="C959" t="s">
        <v>35</v>
      </c>
      <c r="D959">
        <v>1.964</v>
      </c>
      <c r="E959">
        <v>1679</v>
      </c>
      <c r="F959">
        <v>14</v>
      </c>
      <c r="G959" t="s">
        <v>62</v>
      </c>
      <c r="H959" t="s">
        <v>2918</v>
      </c>
      <c r="I959" t="s">
        <v>29</v>
      </c>
      <c r="J959" t="s">
        <v>30</v>
      </c>
      <c r="K959" t="s">
        <v>31</v>
      </c>
      <c r="L959" t="s">
        <v>30</v>
      </c>
      <c r="M959" t="s">
        <v>97</v>
      </c>
      <c r="N959">
        <v>7</v>
      </c>
      <c r="O959">
        <v>4</v>
      </c>
      <c r="P959">
        <v>0</v>
      </c>
      <c r="Q959">
        <v>854.887983706721</v>
      </c>
      <c r="R959">
        <v>7.128309572301426</v>
      </c>
      <c r="S959">
        <v>119.9285714285714</v>
      </c>
      <c r="T959">
        <v>0</v>
      </c>
      <c r="U959">
        <v>0</v>
      </c>
      <c r="V959">
        <v>0</v>
      </c>
      <c r="W959">
        <v>7.426549072397305</v>
      </c>
      <c r="X959">
        <v>0</v>
      </c>
    </row>
    <row r="960" spans="1:24">
      <c r="A960" t="s">
        <v>2919</v>
      </c>
      <c r="B960" t="s">
        <v>2920</v>
      </c>
      <c r="C960" t="s">
        <v>26</v>
      </c>
      <c r="D960">
        <v>4.804</v>
      </c>
      <c r="E960">
        <v>2200</v>
      </c>
      <c r="F960">
        <v>16</v>
      </c>
      <c r="G960" t="s">
        <v>47</v>
      </c>
      <c r="H960" t="s">
        <v>2921</v>
      </c>
      <c r="I960" t="s">
        <v>29</v>
      </c>
      <c r="J960" t="s">
        <v>31</v>
      </c>
      <c r="K960" t="s">
        <v>30</v>
      </c>
      <c r="L960" t="s">
        <v>31</v>
      </c>
      <c r="M960" t="s">
        <v>44</v>
      </c>
      <c r="N960">
        <v>7</v>
      </c>
      <c r="O960">
        <v>4</v>
      </c>
      <c r="P960">
        <v>0</v>
      </c>
      <c r="Q960">
        <v>457.9517069109076</v>
      </c>
      <c r="R960">
        <v>3.330557868442964</v>
      </c>
      <c r="S960">
        <v>137.5</v>
      </c>
      <c r="T960">
        <v>0</v>
      </c>
      <c r="U960">
        <v>0</v>
      </c>
      <c r="V960">
        <v>0</v>
      </c>
      <c r="W960">
        <v>7.696667081526462</v>
      </c>
      <c r="X960">
        <v>0</v>
      </c>
    </row>
    <row r="961" spans="1:24">
      <c r="A961" t="s">
        <v>2922</v>
      </c>
      <c r="B961" t="s">
        <v>2923</v>
      </c>
      <c r="C961" t="s">
        <v>26</v>
      </c>
      <c r="D961">
        <v>6.979</v>
      </c>
      <c r="E961">
        <v>8824</v>
      </c>
      <c r="F961">
        <v>25</v>
      </c>
      <c r="G961" t="s">
        <v>47</v>
      </c>
      <c r="H961" t="s">
        <v>2924</v>
      </c>
      <c r="I961" t="s">
        <v>29</v>
      </c>
      <c r="J961" t="s">
        <v>31</v>
      </c>
      <c r="K961" t="s">
        <v>30</v>
      </c>
      <c r="L961" t="s">
        <v>31</v>
      </c>
      <c r="M961" t="s">
        <v>97</v>
      </c>
      <c r="N961">
        <v>7</v>
      </c>
      <c r="O961">
        <v>4</v>
      </c>
      <c r="P961">
        <v>0</v>
      </c>
      <c r="Q961">
        <v>1264.364522137842</v>
      </c>
      <c r="R961">
        <v>3.582175096718728</v>
      </c>
      <c r="S961">
        <v>352.96</v>
      </c>
      <c r="T961">
        <v>0</v>
      </c>
      <c r="U961">
        <v>0</v>
      </c>
      <c r="V961">
        <v>0</v>
      </c>
      <c r="W961">
        <v>9.085343881801498</v>
      </c>
      <c r="X961">
        <v>0</v>
      </c>
    </row>
    <row r="962" spans="1:24">
      <c r="A962" t="s">
        <v>2925</v>
      </c>
      <c r="B962" t="s">
        <v>2926</v>
      </c>
      <c r="C962" t="s">
        <v>35</v>
      </c>
      <c r="D962">
        <v>2.032</v>
      </c>
      <c r="E962">
        <v>1922</v>
      </c>
      <c r="F962">
        <v>16</v>
      </c>
      <c r="G962" t="s">
        <v>36</v>
      </c>
      <c r="H962" t="s">
        <v>2927</v>
      </c>
      <c r="I962" t="s">
        <v>29</v>
      </c>
      <c r="J962" t="s">
        <v>38</v>
      </c>
      <c r="K962" t="s">
        <v>30</v>
      </c>
      <c r="L962" t="s">
        <v>31</v>
      </c>
      <c r="M962" t="s">
        <v>44</v>
      </c>
      <c r="N962">
        <v>8</v>
      </c>
      <c r="O962">
        <v>4</v>
      </c>
      <c r="P962">
        <v>0</v>
      </c>
      <c r="Q962">
        <v>945.8661417322836</v>
      </c>
      <c r="R962">
        <v>7.874015748031496</v>
      </c>
      <c r="S962">
        <v>120.125</v>
      </c>
      <c r="T962">
        <v>0</v>
      </c>
      <c r="U962">
        <v>0</v>
      </c>
      <c r="V962">
        <v>0</v>
      </c>
      <c r="W962">
        <v>7.56164174558878</v>
      </c>
      <c r="X962">
        <v>0</v>
      </c>
    </row>
    <row r="963" spans="1:24">
      <c r="A963" t="s">
        <v>2928</v>
      </c>
      <c r="B963" t="s">
        <v>2929</v>
      </c>
      <c r="C963" t="s">
        <v>130</v>
      </c>
      <c r="D963">
        <v>4.676</v>
      </c>
      <c r="E963">
        <v>3009</v>
      </c>
      <c r="F963">
        <v>19</v>
      </c>
      <c r="G963" t="s">
        <v>62</v>
      </c>
      <c r="H963" t="s">
        <v>2930</v>
      </c>
      <c r="I963" t="s">
        <v>29</v>
      </c>
      <c r="J963" t="s">
        <v>30</v>
      </c>
      <c r="K963" t="s">
        <v>30</v>
      </c>
      <c r="L963" t="s">
        <v>31</v>
      </c>
      <c r="M963" t="s">
        <v>44</v>
      </c>
      <c r="N963">
        <v>8</v>
      </c>
      <c r="O963">
        <v>4</v>
      </c>
      <c r="P963">
        <v>0</v>
      </c>
      <c r="Q963">
        <v>643.4987168520103</v>
      </c>
      <c r="R963">
        <v>4.063301967493584</v>
      </c>
      <c r="S963">
        <v>158.3684210526316</v>
      </c>
      <c r="T963">
        <v>0</v>
      </c>
      <c r="U963">
        <v>0</v>
      </c>
      <c r="V963">
        <v>0</v>
      </c>
      <c r="W963">
        <v>8.009695357742922</v>
      </c>
      <c r="X963">
        <v>0</v>
      </c>
    </row>
    <row r="964" spans="1:24">
      <c r="A964" t="s">
        <v>2931</v>
      </c>
      <c r="B964" t="s">
        <v>2932</v>
      </c>
      <c r="C964" t="s">
        <v>35</v>
      </c>
      <c r="D964">
        <v>1.862</v>
      </c>
      <c r="E964">
        <v>2030</v>
      </c>
      <c r="F964">
        <v>17</v>
      </c>
      <c r="G964" t="s">
        <v>47</v>
      </c>
      <c r="H964" t="s">
        <v>2933</v>
      </c>
      <c r="I964" t="s">
        <v>29</v>
      </c>
      <c r="J964" t="s">
        <v>31</v>
      </c>
      <c r="K964" t="s">
        <v>30</v>
      </c>
      <c r="L964" t="s">
        <v>31</v>
      </c>
      <c r="M964" t="s">
        <v>44</v>
      </c>
      <c r="N964">
        <v>8</v>
      </c>
      <c r="O964">
        <v>4</v>
      </c>
      <c r="P964">
        <v>0</v>
      </c>
      <c r="Q964">
        <v>1090.225563909774</v>
      </c>
      <c r="R964">
        <v>9.129967776584316</v>
      </c>
      <c r="S964">
        <v>119.4117647058824</v>
      </c>
      <c r="T964">
        <v>0</v>
      </c>
      <c r="U964">
        <v>0</v>
      </c>
      <c r="V964">
        <v>0</v>
      </c>
      <c r="W964">
        <v>7.616283561580385</v>
      </c>
      <c r="X964">
        <v>0</v>
      </c>
    </row>
    <row r="965" spans="1:24">
      <c r="A965" t="s">
        <v>2934</v>
      </c>
      <c r="B965" t="s">
        <v>2935</v>
      </c>
      <c r="C965" t="s">
        <v>35</v>
      </c>
      <c r="D965">
        <v>8.244999999999999</v>
      </c>
      <c r="E965">
        <v>6733</v>
      </c>
      <c r="F965">
        <v>20</v>
      </c>
      <c r="G965" t="s">
        <v>47</v>
      </c>
      <c r="H965" t="s">
        <v>2936</v>
      </c>
      <c r="I965" t="s">
        <v>29</v>
      </c>
      <c r="J965" t="s">
        <v>31</v>
      </c>
      <c r="K965" t="s">
        <v>30</v>
      </c>
      <c r="L965" t="s">
        <v>31</v>
      </c>
      <c r="M965" t="s">
        <v>97</v>
      </c>
      <c r="N965">
        <v>8</v>
      </c>
      <c r="O965">
        <v>4</v>
      </c>
      <c r="P965">
        <v>0</v>
      </c>
      <c r="Q965">
        <v>816.6161309884779</v>
      </c>
      <c r="R965">
        <v>2.425712553062462</v>
      </c>
      <c r="S965">
        <v>336.65</v>
      </c>
      <c r="T965">
        <v>0</v>
      </c>
      <c r="U965">
        <v>0</v>
      </c>
      <c r="V965">
        <v>0</v>
      </c>
      <c r="W965">
        <v>8.814924599721019</v>
      </c>
      <c r="X965">
        <v>0</v>
      </c>
    </row>
    <row r="966" spans="1:24">
      <c r="A966" t="s">
        <v>2937</v>
      </c>
      <c r="B966" t="s">
        <v>2938</v>
      </c>
      <c r="C966" t="s">
        <v>35</v>
      </c>
      <c r="D966">
        <v>3.762</v>
      </c>
      <c r="E966">
        <v>4260</v>
      </c>
      <c r="F966">
        <v>16</v>
      </c>
      <c r="G966" t="s">
        <v>62</v>
      </c>
      <c r="H966" t="s">
        <v>2939</v>
      </c>
      <c r="I966" t="s">
        <v>29</v>
      </c>
      <c r="J966" t="s">
        <v>30</v>
      </c>
      <c r="K966" t="s">
        <v>30</v>
      </c>
      <c r="L966" t="s">
        <v>31</v>
      </c>
      <c r="M966" t="s">
        <v>97</v>
      </c>
      <c r="N966">
        <v>8</v>
      </c>
      <c r="O966">
        <v>4</v>
      </c>
      <c r="P966">
        <v>0</v>
      </c>
      <c r="Q966">
        <v>1132.37639553429</v>
      </c>
      <c r="R966">
        <v>4.253056884635832</v>
      </c>
      <c r="S966">
        <v>266.25</v>
      </c>
      <c r="T966">
        <v>0</v>
      </c>
      <c r="U966">
        <v>0</v>
      </c>
      <c r="V966">
        <v>0</v>
      </c>
      <c r="W966">
        <v>8.357259153499912</v>
      </c>
      <c r="X966">
        <v>0</v>
      </c>
    </row>
    <row r="967" spans="1:24">
      <c r="A967" t="s">
        <v>2940</v>
      </c>
      <c r="B967" t="s">
        <v>2941</v>
      </c>
      <c r="C967" t="s">
        <v>35</v>
      </c>
      <c r="D967">
        <v>4.708</v>
      </c>
      <c r="E967">
        <v>4414</v>
      </c>
      <c r="F967">
        <v>19</v>
      </c>
      <c r="G967" t="s">
        <v>36</v>
      </c>
      <c r="H967" t="s">
        <v>2942</v>
      </c>
      <c r="I967" t="s">
        <v>29</v>
      </c>
      <c r="J967" t="s">
        <v>38</v>
      </c>
      <c r="K967" t="s">
        <v>31</v>
      </c>
      <c r="L967" t="s">
        <v>30</v>
      </c>
      <c r="M967" t="s">
        <v>97</v>
      </c>
      <c r="N967">
        <v>8</v>
      </c>
      <c r="O967">
        <v>4</v>
      </c>
      <c r="P967">
        <v>0</v>
      </c>
      <c r="Q967">
        <v>937.553101104503</v>
      </c>
      <c r="R967">
        <v>4.035683942225998</v>
      </c>
      <c r="S967">
        <v>232.3157894736842</v>
      </c>
      <c r="T967">
        <v>0</v>
      </c>
      <c r="U967">
        <v>0</v>
      </c>
      <c r="V967">
        <v>0</v>
      </c>
      <c r="W967">
        <v>8.392763113038061</v>
      </c>
      <c r="X967">
        <v>0</v>
      </c>
    </row>
    <row r="968" spans="1:24">
      <c r="A968" t="s">
        <v>2943</v>
      </c>
      <c r="B968" t="s">
        <v>2944</v>
      </c>
      <c r="C968" t="s">
        <v>35</v>
      </c>
      <c r="D968">
        <v>2.081</v>
      </c>
      <c r="E968">
        <v>4554</v>
      </c>
      <c r="F968">
        <v>19</v>
      </c>
      <c r="G968" t="s">
        <v>27</v>
      </c>
      <c r="H968" t="s">
        <v>2945</v>
      </c>
      <c r="I968" t="s">
        <v>29</v>
      </c>
      <c r="J968" t="s">
        <v>30</v>
      </c>
      <c r="K968" t="s">
        <v>31</v>
      </c>
      <c r="L968" t="s">
        <v>31</v>
      </c>
      <c r="M968" t="s">
        <v>32</v>
      </c>
      <c r="N968">
        <v>8</v>
      </c>
      <c r="O968">
        <v>4</v>
      </c>
      <c r="P968">
        <v>0</v>
      </c>
      <c r="Q968">
        <v>2188.370975492552</v>
      </c>
      <c r="R968">
        <v>9.130225852955309</v>
      </c>
      <c r="S968">
        <v>239.6842105263158</v>
      </c>
      <c r="T968">
        <v>0</v>
      </c>
      <c r="U968">
        <v>0</v>
      </c>
      <c r="V968">
        <v>0</v>
      </c>
      <c r="W968">
        <v>8.423980809694058</v>
      </c>
      <c r="X968">
        <v>0</v>
      </c>
    </row>
    <row r="969" spans="1:24">
      <c r="A969" t="s">
        <v>2946</v>
      </c>
      <c r="B969" t="s">
        <v>2947</v>
      </c>
      <c r="C969" t="s">
        <v>35</v>
      </c>
      <c r="D969">
        <v>2.869</v>
      </c>
      <c r="E969">
        <v>1288</v>
      </c>
      <c r="F969">
        <v>11</v>
      </c>
      <c r="G969" t="s">
        <v>62</v>
      </c>
      <c r="H969" t="s">
        <v>2948</v>
      </c>
      <c r="I969" t="s">
        <v>29</v>
      </c>
      <c r="J969" t="s">
        <v>30</v>
      </c>
      <c r="K969" t="s">
        <v>38</v>
      </c>
      <c r="L969" t="s">
        <v>31</v>
      </c>
      <c r="M969" t="s">
        <v>44</v>
      </c>
      <c r="N969">
        <v>8</v>
      </c>
      <c r="O969">
        <v>4</v>
      </c>
      <c r="P969">
        <v>0</v>
      </c>
      <c r="Q969">
        <v>448.9369118159637</v>
      </c>
      <c r="R969">
        <v>3.834088532589752</v>
      </c>
      <c r="S969">
        <v>117.0909090909091</v>
      </c>
      <c r="T969">
        <v>0</v>
      </c>
      <c r="U969">
        <v>0</v>
      </c>
      <c r="V969">
        <v>0</v>
      </c>
      <c r="W969">
        <v>7.161622002939187</v>
      </c>
      <c r="X969">
        <v>0</v>
      </c>
    </row>
    <row r="970" spans="1:24">
      <c r="A970" t="s">
        <v>2949</v>
      </c>
      <c r="B970" t="s">
        <v>2950</v>
      </c>
      <c r="C970" t="s">
        <v>35</v>
      </c>
      <c r="D970">
        <v>4.479</v>
      </c>
      <c r="E970">
        <v>882</v>
      </c>
      <c r="F970">
        <v>14</v>
      </c>
      <c r="G970" t="s">
        <v>36</v>
      </c>
      <c r="H970" t="s">
        <v>2951</v>
      </c>
      <c r="I970" t="s">
        <v>29</v>
      </c>
      <c r="J970" t="s">
        <v>38</v>
      </c>
      <c r="K970" t="s">
        <v>30</v>
      </c>
      <c r="L970" t="s">
        <v>30</v>
      </c>
      <c r="M970" t="s">
        <v>39</v>
      </c>
      <c r="N970">
        <v>8</v>
      </c>
      <c r="O970">
        <v>4</v>
      </c>
      <c r="P970">
        <v>0</v>
      </c>
      <c r="Q970">
        <v>196.9189551239116</v>
      </c>
      <c r="R970">
        <v>3.125697700379549</v>
      </c>
      <c r="S970">
        <v>63</v>
      </c>
      <c r="T970">
        <v>0</v>
      </c>
      <c r="U970">
        <v>0</v>
      </c>
      <c r="V970">
        <v>0</v>
      </c>
      <c r="W970">
        <v>6.78332520060396</v>
      </c>
      <c r="X970">
        <v>0</v>
      </c>
    </row>
    <row r="971" spans="1:24">
      <c r="A971" t="s">
        <v>2952</v>
      </c>
      <c r="B971" t="s">
        <v>2953</v>
      </c>
      <c r="C971" t="s">
        <v>35</v>
      </c>
      <c r="D971">
        <v>1.787</v>
      </c>
      <c r="E971">
        <v>5166</v>
      </c>
      <c r="F971">
        <v>13</v>
      </c>
      <c r="G971" t="s">
        <v>47</v>
      </c>
      <c r="H971" t="s">
        <v>2954</v>
      </c>
      <c r="I971" t="s">
        <v>29</v>
      </c>
      <c r="J971" t="s">
        <v>31</v>
      </c>
      <c r="K971" t="s">
        <v>30</v>
      </c>
      <c r="L971" t="s">
        <v>30</v>
      </c>
      <c r="M971" t="s">
        <v>44</v>
      </c>
      <c r="N971">
        <v>8</v>
      </c>
      <c r="O971">
        <v>4</v>
      </c>
      <c r="P971">
        <v>0</v>
      </c>
      <c r="Q971">
        <v>2890.878567431449</v>
      </c>
      <c r="R971">
        <v>7.27476217123671</v>
      </c>
      <c r="S971">
        <v>397.3846153846154</v>
      </c>
      <c r="T971">
        <v>0</v>
      </c>
      <c r="U971">
        <v>0</v>
      </c>
      <c r="V971">
        <v>0</v>
      </c>
      <c r="W971">
        <v>8.550047528287184</v>
      </c>
      <c r="X971">
        <v>0</v>
      </c>
    </row>
    <row r="972" spans="1:24">
      <c r="A972" t="s">
        <v>2955</v>
      </c>
      <c r="B972" t="s">
        <v>2956</v>
      </c>
      <c r="C972" t="s">
        <v>130</v>
      </c>
      <c r="D972">
        <v>1.701</v>
      </c>
      <c r="E972">
        <v>1656</v>
      </c>
      <c r="F972">
        <v>13</v>
      </c>
      <c r="G972" t="s">
        <v>36</v>
      </c>
      <c r="H972" t="s">
        <v>2957</v>
      </c>
      <c r="I972" t="s">
        <v>29</v>
      </c>
      <c r="J972" t="s">
        <v>38</v>
      </c>
      <c r="K972" t="s">
        <v>30</v>
      </c>
      <c r="L972" t="s">
        <v>30</v>
      </c>
      <c r="M972" t="s">
        <v>44</v>
      </c>
      <c r="N972">
        <v>8</v>
      </c>
      <c r="O972">
        <v>4</v>
      </c>
      <c r="P972">
        <v>0</v>
      </c>
      <c r="Q972">
        <v>973.5449735449736</v>
      </c>
      <c r="R972">
        <v>7.642563198118753</v>
      </c>
      <c r="S972">
        <v>127.3846153846154</v>
      </c>
      <c r="T972">
        <v>0</v>
      </c>
      <c r="U972">
        <v>0</v>
      </c>
      <c r="V972">
        <v>0</v>
      </c>
      <c r="W972">
        <v>7.412764017426562</v>
      </c>
      <c r="X972">
        <v>0</v>
      </c>
    </row>
    <row r="973" spans="1:24">
      <c r="A973" t="s">
        <v>2958</v>
      </c>
      <c r="B973" t="s">
        <v>2959</v>
      </c>
      <c r="C973" t="s">
        <v>35</v>
      </c>
      <c r="D973">
        <v>2.631</v>
      </c>
      <c r="E973">
        <v>3688</v>
      </c>
      <c r="F973">
        <v>19</v>
      </c>
      <c r="G973" t="s">
        <v>27</v>
      </c>
      <c r="H973" t="s">
        <v>2960</v>
      </c>
      <c r="I973" t="s">
        <v>29</v>
      </c>
      <c r="J973" t="s">
        <v>30</v>
      </c>
      <c r="K973" t="s">
        <v>38</v>
      </c>
      <c r="L973" t="s">
        <v>38</v>
      </c>
      <c r="M973" t="s">
        <v>97</v>
      </c>
      <c r="N973">
        <v>8</v>
      </c>
      <c r="O973">
        <v>4</v>
      </c>
      <c r="P973">
        <v>0</v>
      </c>
      <c r="Q973">
        <v>1401.748384644622</v>
      </c>
      <c r="R973">
        <v>7.221588749524896</v>
      </c>
      <c r="S973">
        <v>194.1052631578948</v>
      </c>
      <c r="T973">
        <v>0</v>
      </c>
      <c r="U973">
        <v>0</v>
      </c>
      <c r="V973">
        <v>0</v>
      </c>
      <c r="W973">
        <v>8.213110697596676</v>
      </c>
      <c r="X973">
        <v>0</v>
      </c>
    </row>
    <row r="974" spans="1:24">
      <c r="A974" t="s">
        <v>2961</v>
      </c>
      <c r="B974" t="s">
        <v>2962</v>
      </c>
      <c r="C974" t="s">
        <v>35</v>
      </c>
      <c r="D974">
        <v>5.016</v>
      </c>
      <c r="E974">
        <v>7049</v>
      </c>
      <c r="F974">
        <v>18</v>
      </c>
      <c r="G974" t="s">
        <v>36</v>
      </c>
      <c r="H974" t="s">
        <v>2963</v>
      </c>
      <c r="I974" t="s">
        <v>29</v>
      </c>
      <c r="J974" t="s">
        <v>38</v>
      </c>
      <c r="K974" t="s">
        <v>38</v>
      </c>
      <c r="L974" t="s">
        <v>38</v>
      </c>
      <c r="M974" t="s">
        <v>97</v>
      </c>
      <c r="N974">
        <v>9</v>
      </c>
      <c r="O974">
        <v>4</v>
      </c>
      <c r="P974">
        <v>0</v>
      </c>
      <c r="Q974">
        <v>1405.30303030303</v>
      </c>
      <c r="R974">
        <v>3.588516746411483</v>
      </c>
      <c r="S974">
        <v>391.6111111111111</v>
      </c>
      <c r="T974">
        <v>0</v>
      </c>
      <c r="U974">
        <v>0</v>
      </c>
      <c r="V974">
        <v>0</v>
      </c>
      <c r="W974">
        <v>8.860782895806315</v>
      </c>
      <c r="X974">
        <v>0</v>
      </c>
    </row>
    <row r="975" spans="1:24">
      <c r="A975" t="s">
        <v>2964</v>
      </c>
      <c r="B975" t="s">
        <v>2965</v>
      </c>
      <c r="C975" t="s">
        <v>35</v>
      </c>
      <c r="D975">
        <v>0.763</v>
      </c>
      <c r="E975">
        <v>3196</v>
      </c>
      <c r="F975">
        <v>22</v>
      </c>
      <c r="G975" t="s">
        <v>27</v>
      </c>
      <c r="H975" t="s">
        <v>2966</v>
      </c>
      <c r="I975" t="s">
        <v>29</v>
      </c>
      <c r="J975" t="s">
        <v>30</v>
      </c>
      <c r="K975" t="s">
        <v>30</v>
      </c>
      <c r="L975" t="s">
        <v>31</v>
      </c>
      <c r="M975" t="s">
        <v>97</v>
      </c>
      <c r="N975">
        <v>9</v>
      </c>
      <c r="O975">
        <v>4</v>
      </c>
      <c r="P975">
        <v>0</v>
      </c>
      <c r="Q975">
        <v>4188.728702490171</v>
      </c>
      <c r="R975">
        <v>28.83355176933159</v>
      </c>
      <c r="S975">
        <v>145.2727272727273</v>
      </c>
      <c r="T975">
        <v>0</v>
      </c>
      <c r="U975">
        <v>0</v>
      </c>
      <c r="V975">
        <v>0</v>
      </c>
      <c r="W975">
        <v>8.069968149059841</v>
      </c>
      <c r="X975">
        <v>0</v>
      </c>
    </row>
    <row r="976" spans="1:24">
      <c r="A976" t="s">
        <v>2967</v>
      </c>
      <c r="B976" t="s">
        <v>2968</v>
      </c>
      <c r="C976" t="s">
        <v>26</v>
      </c>
      <c r="D976">
        <v>2.558</v>
      </c>
      <c r="E976">
        <v>2757</v>
      </c>
      <c r="F976">
        <v>15</v>
      </c>
      <c r="G976" t="s">
        <v>27</v>
      </c>
      <c r="H976" t="s">
        <v>2969</v>
      </c>
      <c r="I976" t="s">
        <v>29</v>
      </c>
      <c r="J976" t="s">
        <v>30</v>
      </c>
      <c r="K976" t="s">
        <v>30</v>
      </c>
      <c r="L976" t="s">
        <v>30</v>
      </c>
      <c r="M976" t="s">
        <v>44</v>
      </c>
      <c r="N976">
        <v>9</v>
      </c>
      <c r="O976">
        <v>4</v>
      </c>
      <c r="P976">
        <v>0</v>
      </c>
      <c r="Q976">
        <v>1077.795152462862</v>
      </c>
      <c r="R976">
        <v>5.863956215793589</v>
      </c>
      <c r="S976">
        <v>183.8</v>
      </c>
      <c r="T976">
        <v>0</v>
      </c>
      <c r="U976">
        <v>0</v>
      </c>
      <c r="V976">
        <v>0</v>
      </c>
      <c r="W976">
        <v>7.922261058353247</v>
      </c>
      <c r="X976">
        <v>0</v>
      </c>
    </row>
    <row r="977" spans="1:24">
      <c r="A977" t="s">
        <v>2970</v>
      </c>
      <c r="B977" t="s">
        <v>2971</v>
      </c>
      <c r="C977" t="s">
        <v>35</v>
      </c>
      <c r="D977">
        <v>3.646</v>
      </c>
      <c r="E977">
        <v>3508</v>
      </c>
      <c r="F977">
        <v>11</v>
      </c>
      <c r="G977" t="s">
        <v>27</v>
      </c>
      <c r="H977" t="s">
        <v>2972</v>
      </c>
      <c r="I977" t="s">
        <v>29</v>
      </c>
      <c r="J977" t="s">
        <v>30</v>
      </c>
      <c r="K977" t="s">
        <v>30</v>
      </c>
      <c r="L977" t="s">
        <v>31</v>
      </c>
      <c r="M977" t="s">
        <v>76</v>
      </c>
      <c r="N977">
        <v>9</v>
      </c>
      <c r="O977">
        <v>4</v>
      </c>
      <c r="P977">
        <v>0</v>
      </c>
      <c r="Q977">
        <v>962.1503017004936</v>
      </c>
      <c r="R977">
        <v>3.01700493691717</v>
      </c>
      <c r="S977">
        <v>318.9090909090909</v>
      </c>
      <c r="T977">
        <v>0</v>
      </c>
      <c r="U977">
        <v>0</v>
      </c>
      <c r="V977">
        <v>0</v>
      </c>
      <c r="W977">
        <v>8.163086375583216</v>
      </c>
      <c r="X977">
        <v>0</v>
      </c>
    </row>
    <row r="978" spans="1:24">
      <c r="A978" t="s">
        <v>2973</v>
      </c>
      <c r="B978" t="s">
        <v>2974</v>
      </c>
      <c r="C978" t="s">
        <v>26</v>
      </c>
      <c r="D978">
        <v>1.97</v>
      </c>
      <c r="E978">
        <v>4135</v>
      </c>
      <c r="F978">
        <v>16</v>
      </c>
      <c r="G978" t="s">
        <v>47</v>
      </c>
      <c r="H978" t="s">
        <v>2975</v>
      </c>
      <c r="I978" t="s">
        <v>29</v>
      </c>
      <c r="J978" t="s">
        <v>31</v>
      </c>
      <c r="K978" t="s">
        <v>38</v>
      </c>
      <c r="L978" t="s">
        <v>31</v>
      </c>
      <c r="M978" t="s">
        <v>32</v>
      </c>
      <c r="N978">
        <v>9</v>
      </c>
      <c r="O978">
        <v>4</v>
      </c>
      <c r="P978">
        <v>0</v>
      </c>
      <c r="Q978">
        <v>2098.984771573604</v>
      </c>
      <c r="R978">
        <v>8.121827411167512</v>
      </c>
      <c r="S978">
        <v>258.4375</v>
      </c>
      <c r="T978">
        <v>0</v>
      </c>
      <c r="U978">
        <v>0</v>
      </c>
      <c r="V978">
        <v>0</v>
      </c>
      <c r="W978">
        <v>8.327484416188264</v>
      </c>
      <c r="X978">
        <v>0</v>
      </c>
    </row>
    <row r="979" spans="1:24">
      <c r="A979" t="s">
        <v>2976</v>
      </c>
      <c r="B979" t="s">
        <v>2977</v>
      </c>
      <c r="C979" t="s">
        <v>26</v>
      </c>
      <c r="D979">
        <v>2.717</v>
      </c>
      <c r="E979">
        <v>1875</v>
      </c>
      <c r="F979">
        <v>14</v>
      </c>
      <c r="G979" t="s">
        <v>27</v>
      </c>
      <c r="H979" t="s">
        <v>2978</v>
      </c>
      <c r="I979" t="s">
        <v>29</v>
      </c>
      <c r="J979" t="s">
        <v>30</v>
      </c>
      <c r="K979" t="s">
        <v>31</v>
      </c>
      <c r="L979" t="s">
        <v>31</v>
      </c>
      <c r="M979" t="s">
        <v>39</v>
      </c>
      <c r="N979">
        <v>9</v>
      </c>
      <c r="O979">
        <v>4</v>
      </c>
      <c r="P979">
        <v>0</v>
      </c>
      <c r="Q979">
        <v>690.0993743099006</v>
      </c>
      <c r="R979">
        <v>5.152741994847258</v>
      </c>
      <c r="S979">
        <v>133.9285714285714</v>
      </c>
      <c r="T979">
        <v>0</v>
      </c>
      <c r="U979">
        <v>0</v>
      </c>
      <c r="V979">
        <v>0</v>
      </c>
      <c r="W979">
        <v>7.53689712956617</v>
      </c>
      <c r="X979">
        <v>0</v>
      </c>
    </row>
    <row r="980" spans="1:24">
      <c r="A980" t="s">
        <v>2979</v>
      </c>
      <c r="B980" t="s">
        <v>2980</v>
      </c>
      <c r="C980" t="s">
        <v>26</v>
      </c>
      <c r="D980">
        <v>1.789</v>
      </c>
      <c r="E980">
        <v>1652</v>
      </c>
      <c r="F980">
        <v>13</v>
      </c>
      <c r="G980" t="s">
        <v>47</v>
      </c>
      <c r="H980" t="s">
        <v>2981</v>
      </c>
      <c r="I980" t="s">
        <v>29</v>
      </c>
      <c r="J980" t="s">
        <v>31</v>
      </c>
      <c r="K980" t="s">
        <v>38</v>
      </c>
      <c r="L980" t="s">
        <v>38</v>
      </c>
      <c r="M980" t="s">
        <v>32</v>
      </c>
      <c r="N980">
        <v>9</v>
      </c>
      <c r="O980">
        <v>4</v>
      </c>
      <c r="P980">
        <v>0</v>
      </c>
      <c r="Q980">
        <v>923.420905533818</v>
      </c>
      <c r="R980">
        <v>7.266629401900503</v>
      </c>
      <c r="S980">
        <v>127.0769230769231</v>
      </c>
      <c r="T980">
        <v>0</v>
      </c>
      <c r="U980">
        <v>0</v>
      </c>
      <c r="V980">
        <v>0</v>
      </c>
      <c r="W980">
        <v>7.410347097821024</v>
      </c>
      <c r="X980">
        <v>0</v>
      </c>
    </row>
    <row r="981" spans="1:24">
      <c r="A981" t="s">
        <v>2982</v>
      </c>
      <c r="B981" t="s">
        <v>2983</v>
      </c>
      <c r="C981" t="s">
        <v>26</v>
      </c>
      <c r="D981">
        <v>1.669</v>
      </c>
      <c r="E981">
        <v>4932</v>
      </c>
      <c r="F981">
        <v>21</v>
      </c>
      <c r="G981" t="s">
        <v>27</v>
      </c>
      <c r="H981" t="s">
        <v>2984</v>
      </c>
      <c r="I981" t="s">
        <v>29</v>
      </c>
      <c r="J981" t="s">
        <v>30</v>
      </c>
      <c r="K981" t="s">
        <v>38</v>
      </c>
      <c r="L981" t="s">
        <v>31</v>
      </c>
      <c r="M981" t="s">
        <v>97</v>
      </c>
      <c r="N981">
        <v>9</v>
      </c>
      <c r="O981">
        <v>4</v>
      </c>
      <c r="P981">
        <v>0</v>
      </c>
      <c r="Q981">
        <v>2955.062911923307</v>
      </c>
      <c r="R981">
        <v>12.58238466147394</v>
      </c>
      <c r="S981">
        <v>234.8571428571429</v>
      </c>
      <c r="T981">
        <v>0</v>
      </c>
      <c r="U981">
        <v>0</v>
      </c>
      <c r="V981">
        <v>0</v>
      </c>
      <c r="W981">
        <v>8.503702601233739</v>
      </c>
      <c r="X981">
        <v>0</v>
      </c>
    </row>
    <row r="982" spans="1:24">
      <c r="A982" t="s">
        <v>2985</v>
      </c>
      <c r="B982" t="s">
        <v>2986</v>
      </c>
      <c r="C982" t="s">
        <v>35</v>
      </c>
      <c r="D982">
        <v>3.973</v>
      </c>
      <c r="E982">
        <v>3766</v>
      </c>
      <c r="F982">
        <v>19</v>
      </c>
      <c r="G982" t="s">
        <v>36</v>
      </c>
      <c r="H982" t="s">
        <v>2987</v>
      </c>
      <c r="I982" t="s">
        <v>29</v>
      </c>
      <c r="J982" t="s">
        <v>38</v>
      </c>
      <c r="K982" t="s">
        <v>30</v>
      </c>
      <c r="L982" t="s">
        <v>31</v>
      </c>
      <c r="M982" t="s">
        <v>39</v>
      </c>
      <c r="N982">
        <v>9</v>
      </c>
      <c r="O982">
        <v>4</v>
      </c>
      <c r="P982">
        <v>0</v>
      </c>
      <c r="Q982">
        <v>947.8983136169142</v>
      </c>
      <c r="R982">
        <v>4.782280392650391</v>
      </c>
      <c r="S982">
        <v>198.2105263157895</v>
      </c>
      <c r="T982">
        <v>0</v>
      </c>
      <c r="U982">
        <v>0</v>
      </c>
      <c r="V982">
        <v>0</v>
      </c>
      <c r="W982">
        <v>8.234034207692041</v>
      </c>
      <c r="X982">
        <v>0</v>
      </c>
    </row>
    <row r="983" spans="1:24">
      <c r="A983" t="s">
        <v>2988</v>
      </c>
      <c r="B983" t="s">
        <v>2989</v>
      </c>
      <c r="C983" t="s">
        <v>52</v>
      </c>
      <c r="D983">
        <v>2.935</v>
      </c>
      <c r="E983">
        <v>1464</v>
      </c>
      <c r="F983">
        <v>18</v>
      </c>
      <c r="G983" t="s">
        <v>62</v>
      </c>
      <c r="H983" t="s">
        <v>2990</v>
      </c>
      <c r="I983" t="s">
        <v>29</v>
      </c>
      <c r="J983" t="s">
        <v>30</v>
      </c>
      <c r="K983" t="s">
        <v>38</v>
      </c>
      <c r="L983" t="s">
        <v>38</v>
      </c>
      <c r="M983" t="s">
        <v>39</v>
      </c>
      <c r="N983">
        <v>9</v>
      </c>
      <c r="O983">
        <v>4</v>
      </c>
      <c r="P983">
        <v>0</v>
      </c>
      <c r="Q983">
        <v>498.8074957410562</v>
      </c>
      <c r="R983">
        <v>6.132879045996593</v>
      </c>
      <c r="S983">
        <v>81.33333333333333</v>
      </c>
      <c r="T983">
        <v>0</v>
      </c>
      <c r="U983">
        <v>0</v>
      </c>
      <c r="V983">
        <v>0</v>
      </c>
      <c r="W983">
        <v>7.289610521451167</v>
      </c>
      <c r="X983">
        <v>0</v>
      </c>
    </row>
    <row r="984" spans="1:24">
      <c r="A984" t="s">
        <v>2991</v>
      </c>
      <c r="B984" t="s">
        <v>2992</v>
      </c>
      <c r="C984" t="s">
        <v>35</v>
      </c>
      <c r="D984">
        <v>3.795</v>
      </c>
      <c r="E984">
        <v>1778</v>
      </c>
      <c r="F984">
        <v>20</v>
      </c>
      <c r="G984" t="s">
        <v>62</v>
      </c>
      <c r="H984" t="s">
        <v>2993</v>
      </c>
      <c r="I984" t="s">
        <v>29</v>
      </c>
      <c r="J984" t="s">
        <v>30</v>
      </c>
      <c r="K984" t="s">
        <v>31</v>
      </c>
      <c r="L984" t="s">
        <v>31</v>
      </c>
      <c r="M984" t="s">
        <v>32</v>
      </c>
      <c r="N984">
        <v>9</v>
      </c>
      <c r="O984">
        <v>4</v>
      </c>
      <c r="P984">
        <v>0</v>
      </c>
      <c r="Q984">
        <v>468.5111989459816</v>
      </c>
      <c r="R984">
        <v>5.270092226613966</v>
      </c>
      <c r="S984">
        <v>88.90000000000001</v>
      </c>
      <c r="T984">
        <v>0</v>
      </c>
      <c r="U984">
        <v>0</v>
      </c>
      <c r="V984">
        <v>0</v>
      </c>
      <c r="W984">
        <v>7.483806687665835</v>
      </c>
      <c r="X984">
        <v>0</v>
      </c>
    </row>
    <row r="985" spans="1:24">
      <c r="A985" t="s">
        <v>2994</v>
      </c>
      <c r="B985" t="s">
        <v>2995</v>
      </c>
      <c r="C985" t="s">
        <v>35</v>
      </c>
      <c r="D985">
        <v>1.273</v>
      </c>
      <c r="E985">
        <v>2953</v>
      </c>
      <c r="F985">
        <v>16</v>
      </c>
      <c r="G985" t="s">
        <v>27</v>
      </c>
      <c r="H985" t="s">
        <v>2996</v>
      </c>
      <c r="I985" t="s">
        <v>29</v>
      </c>
      <c r="J985" t="s">
        <v>30</v>
      </c>
      <c r="K985" t="s">
        <v>31</v>
      </c>
      <c r="L985" t="s">
        <v>30</v>
      </c>
      <c r="M985" t="s">
        <v>39</v>
      </c>
      <c r="N985">
        <v>9</v>
      </c>
      <c r="O985">
        <v>4</v>
      </c>
      <c r="P985">
        <v>0</v>
      </c>
      <c r="Q985">
        <v>2319.717203456402</v>
      </c>
      <c r="R985">
        <v>12.56873527101336</v>
      </c>
      <c r="S985">
        <v>184.5625</v>
      </c>
      <c r="T985">
        <v>0</v>
      </c>
      <c r="U985">
        <v>0</v>
      </c>
      <c r="V985">
        <v>0</v>
      </c>
      <c r="W985">
        <v>7.990915463091325</v>
      </c>
      <c r="X985">
        <v>0</v>
      </c>
    </row>
    <row r="986" spans="1:24">
      <c r="A986" t="s">
        <v>2997</v>
      </c>
      <c r="B986" t="s">
        <v>2998</v>
      </c>
      <c r="C986" t="s">
        <v>35</v>
      </c>
      <c r="D986">
        <v>0.736</v>
      </c>
      <c r="E986">
        <v>955</v>
      </c>
      <c r="F986">
        <v>19</v>
      </c>
      <c r="G986" t="s">
        <v>47</v>
      </c>
      <c r="H986" t="s">
        <v>2999</v>
      </c>
      <c r="I986" t="s">
        <v>29</v>
      </c>
      <c r="J986" t="s">
        <v>31</v>
      </c>
      <c r="K986" t="s">
        <v>30</v>
      </c>
      <c r="L986" t="s">
        <v>30</v>
      </c>
      <c r="M986" t="s">
        <v>97</v>
      </c>
      <c r="N986">
        <v>10</v>
      </c>
      <c r="O986">
        <v>4</v>
      </c>
      <c r="P986">
        <v>0</v>
      </c>
      <c r="Q986">
        <v>1297.554347826087</v>
      </c>
      <c r="R986">
        <v>25.81521739130435</v>
      </c>
      <c r="S986">
        <v>50.26315789473684</v>
      </c>
      <c r="T986">
        <v>0</v>
      </c>
      <c r="U986">
        <v>0</v>
      </c>
      <c r="V986">
        <v>0</v>
      </c>
      <c r="W986">
        <v>6.862757913051401</v>
      </c>
      <c r="X986">
        <v>0</v>
      </c>
    </row>
    <row r="987" spans="1:24">
      <c r="A987" t="s">
        <v>3000</v>
      </c>
      <c r="B987" t="s">
        <v>3001</v>
      </c>
      <c r="C987" t="s">
        <v>26</v>
      </c>
      <c r="D987">
        <v>2.904</v>
      </c>
      <c r="E987">
        <v>2475</v>
      </c>
      <c r="F987">
        <v>15</v>
      </c>
      <c r="G987" t="s">
        <v>47</v>
      </c>
      <c r="H987" t="s">
        <v>3002</v>
      </c>
      <c r="I987" t="s">
        <v>43</v>
      </c>
      <c r="J987" t="s">
        <v>31</v>
      </c>
      <c r="K987" t="s">
        <v>30</v>
      </c>
      <c r="L987" t="s">
        <v>31</v>
      </c>
      <c r="M987" t="s">
        <v>32</v>
      </c>
      <c r="N987">
        <v>10</v>
      </c>
      <c r="O987">
        <v>4</v>
      </c>
      <c r="P987">
        <v>0</v>
      </c>
      <c r="Q987">
        <v>852.2727272727273</v>
      </c>
      <c r="R987">
        <v>5.165289256198347</v>
      </c>
      <c r="S987">
        <v>165</v>
      </c>
      <c r="T987">
        <v>0</v>
      </c>
      <c r="U987">
        <v>0</v>
      </c>
      <c r="V987">
        <v>0</v>
      </c>
      <c r="W987">
        <v>7.814399633804487</v>
      </c>
      <c r="X987">
        <v>1</v>
      </c>
    </row>
    <row r="988" spans="1:24">
      <c r="A988" t="s">
        <v>3003</v>
      </c>
      <c r="B988" t="s">
        <v>3004</v>
      </c>
      <c r="C988" t="s">
        <v>35</v>
      </c>
      <c r="D988">
        <v>1.693</v>
      </c>
      <c r="E988">
        <v>1731</v>
      </c>
      <c r="F988">
        <v>18</v>
      </c>
      <c r="G988" t="s">
        <v>47</v>
      </c>
      <c r="H988" t="s">
        <v>3005</v>
      </c>
      <c r="I988" t="s">
        <v>29</v>
      </c>
      <c r="J988" t="s">
        <v>31</v>
      </c>
      <c r="K988" t="s">
        <v>38</v>
      </c>
      <c r="L988" t="s">
        <v>30</v>
      </c>
      <c r="M988" t="s">
        <v>44</v>
      </c>
      <c r="N988">
        <v>10</v>
      </c>
      <c r="O988">
        <v>4</v>
      </c>
      <c r="P988">
        <v>0</v>
      </c>
      <c r="Q988">
        <v>1022.445363260484</v>
      </c>
      <c r="R988">
        <v>10.6320141760189</v>
      </c>
      <c r="S988">
        <v>96.16666666666669</v>
      </c>
      <c r="T988">
        <v>0</v>
      </c>
      <c r="U988">
        <v>0</v>
      </c>
      <c r="V988">
        <v>0</v>
      </c>
      <c r="W988">
        <v>7.45703208912238</v>
      </c>
      <c r="X988">
        <v>0</v>
      </c>
    </row>
    <row r="989" spans="1:24">
      <c r="A989" t="s">
        <v>3006</v>
      </c>
      <c r="B989" t="s">
        <v>3007</v>
      </c>
      <c r="C989" t="s">
        <v>35</v>
      </c>
      <c r="D989">
        <v>3.15</v>
      </c>
      <c r="E989">
        <v>740</v>
      </c>
      <c r="F989">
        <v>11</v>
      </c>
      <c r="G989" t="s">
        <v>27</v>
      </c>
      <c r="H989" t="s">
        <v>3008</v>
      </c>
      <c r="I989" t="s">
        <v>29</v>
      </c>
      <c r="J989" t="s">
        <v>30</v>
      </c>
      <c r="K989" t="s">
        <v>30</v>
      </c>
      <c r="L989" t="s">
        <v>30</v>
      </c>
      <c r="M989" t="s">
        <v>44</v>
      </c>
      <c r="N989">
        <v>10</v>
      </c>
      <c r="O989">
        <v>4</v>
      </c>
      <c r="P989">
        <v>0</v>
      </c>
      <c r="Q989">
        <v>234.9206349206349</v>
      </c>
      <c r="R989">
        <v>3.492063492063492</v>
      </c>
      <c r="S989">
        <v>67.27272727272727</v>
      </c>
      <c r="T989">
        <v>0</v>
      </c>
      <c r="U989">
        <v>0</v>
      </c>
      <c r="V989">
        <v>0</v>
      </c>
      <c r="W989">
        <v>6.608000625296087</v>
      </c>
      <c r="X989">
        <v>0</v>
      </c>
    </row>
    <row r="990" spans="1:24">
      <c r="A990" t="s">
        <v>3009</v>
      </c>
      <c r="B990" t="s">
        <v>3010</v>
      </c>
      <c r="C990" t="s">
        <v>26</v>
      </c>
      <c r="D990">
        <v>3.491</v>
      </c>
      <c r="E990">
        <v>2683</v>
      </c>
      <c r="F990">
        <v>25</v>
      </c>
      <c r="G990" t="s">
        <v>27</v>
      </c>
      <c r="H990" t="s">
        <v>3011</v>
      </c>
      <c r="I990" t="s">
        <v>29</v>
      </c>
      <c r="J990" t="s">
        <v>30</v>
      </c>
      <c r="K990" t="s">
        <v>38</v>
      </c>
      <c r="L990" t="s">
        <v>31</v>
      </c>
      <c r="M990" t="s">
        <v>44</v>
      </c>
      <c r="N990">
        <v>10</v>
      </c>
      <c r="O990">
        <v>4</v>
      </c>
      <c r="P990">
        <v>0</v>
      </c>
      <c r="Q990">
        <v>768.5476940704669</v>
      </c>
      <c r="R990">
        <v>7.161271841879118</v>
      </c>
      <c r="S990">
        <v>107.32</v>
      </c>
      <c r="T990">
        <v>0</v>
      </c>
      <c r="U990">
        <v>0</v>
      </c>
      <c r="V990">
        <v>0</v>
      </c>
      <c r="W990">
        <v>7.895063498091573</v>
      </c>
      <c r="X990">
        <v>0</v>
      </c>
    </row>
    <row r="991" spans="1:24">
      <c r="A991" t="s">
        <v>3012</v>
      </c>
      <c r="B991" t="s">
        <v>3013</v>
      </c>
      <c r="C991" t="s">
        <v>35</v>
      </c>
      <c r="D991">
        <v>6.701</v>
      </c>
      <c r="E991">
        <v>6331</v>
      </c>
      <c r="F991">
        <v>15</v>
      </c>
      <c r="G991" t="s">
        <v>47</v>
      </c>
      <c r="H991" t="s">
        <v>3014</v>
      </c>
      <c r="I991" t="s">
        <v>29</v>
      </c>
      <c r="J991" t="s">
        <v>31</v>
      </c>
      <c r="K991" t="s">
        <v>30</v>
      </c>
      <c r="L991" t="s">
        <v>31</v>
      </c>
      <c r="M991" t="s">
        <v>44</v>
      </c>
      <c r="N991">
        <v>10</v>
      </c>
      <c r="O991">
        <v>4</v>
      </c>
      <c r="P991">
        <v>0</v>
      </c>
      <c r="Q991">
        <v>944.7843605432024</v>
      </c>
      <c r="R991">
        <v>2.238471869870169</v>
      </c>
      <c r="S991">
        <v>422.0666666666667</v>
      </c>
      <c r="T991">
        <v>0</v>
      </c>
      <c r="U991">
        <v>0</v>
      </c>
      <c r="V991">
        <v>0</v>
      </c>
      <c r="W991">
        <v>8.753371421000903</v>
      </c>
      <c r="X991">
        <v>0</v>
      </c>
    </row>
    <row r="992" spans="1:24">
      <c r="A992" t="s">
        <v>3015</v>
      </c>
      <c r="B992" t="s">
        <v>3016</v>
      </c>
      <c r="C992" t="s">
        <v>35</v>
      </c>
      <c r="D992">
        <v>2.905</v>
      </c>
      <c r="E992">
        <v>2297</v>
      </c>
      <c r="F992">
        <v>20</v>
      </c>
      <c r="G992" t="s">
        <v>27</v>
      </c>
      <c r="H992" t="s">
        <v>3017</v>
      </c>
      <c r="I992" t="s">
        <v>29</v>
      </c>
      <c r="J992" t="s">
        <v>30</v>
      </c>
      <c r="K992" t="s">
        <v>30</v>
      </c>
      <c r="L992" t="s">
        <v>30</v>
      </c>
      <c r="M992" t="s">
        <v>39</v>
      </c>
      <c r="N992">
        <v>10</v>
      </c>
      <c r="O992">
        <v>4</v>
      </c>
      <c r="P992">
        <v>0</v>
      </c>
      <c r="Q992">
        <v>790.7056798623064</v>
      </c>
      <c r="R992">
        <v>6.884681583476764</v>
      </c>
      <c r="S992">
        <v>114.85</v>
      </c>
      <c r="T992">
        <v>0</v>
      </c>
      <c r="U992">
        <v>0</v>
      </c>
      <c r="V992">
        <v>0</v>
      </c>
      <c r="W992">
        <v>7.739794458408701</v>
      </c>
      <c r="X992">
        <v>0</v>
      </c>
    </row>
    <row r="993" spans="1:24">
      <c r="A993" t="s">
        <v>3018</v>
      </c>
      <c r="B993" t="s">
        <v>3019</v>
      </c>
      <c r="C993" t="s">
        <v>26</v>
      </c>
      <c r="D993">
        <v>6.768</v>
      </c>
      <c r="E993">
        <v>51653</v>
      </c>
      <c r="F993">
        <v>96</v>
      </c>
      <c r="G993" t="s">
        <v>36</v>
      </c>
      <c r="H993" t="s">
        <v>3020</v>
      </c>
      <c r="I993" t="s">
        <v>49</v>
      </c>
      <c r="J993" t="s">
        <v>38</v>
      </c>
      <c r="K993" t="s">
        <v>30</v>
      </c>
      <c r="L993" t="s">
        <v>38</v>
      </c>
      <c r="M993" t="s">
        <v>97</v>
      </c>
      <c r="N993">
        <v>10</v>
      </c>
      <c r="O993">
        <v>4</v>
      </c>
      <c r="P993">
        <v>0</v>
      </c>
      <c r="Q993">
        <v>7631.944444444444</v>
      </c>
      <c r="R993">
        <v>14.18439716312057</v>
      </c>
      <c r="S993">
        <v>538.0520833333334</v>
      </c>
      <c r="T993">
        <v>0</v>
      </c>
      <c r="U993">
        <v>0</v>
      </c>
      <c r="V993">
        <v>1</v>
      </c>
      <c r="W993">
        <v>10.85232291588601</v>
      </c>
      <c r="X993">
        <v>1</v>
      </c>
    </row>
    <row r="994" spans="1:24">
      <c r="A994" t="s">
        <v>3021</v>
      </c>
      <c r="B994" t="s">
        <v>3022</v>
      </c>
      <c r="C994" t="s">
        <v>26</v>
      </c>
      <c r="D994">
        <v>3.892</v>
      </c>
      <c r="E994">
        <v>2215</v>
      </c>
      <c r="F994">
        <v>15</v>
      </c>
      <c r="G994" t="s">
        <v>47</v>
      </c>
      <c r="H994" t="s">
        <v>3023</v>
      </c>
      <c r="I994" t="s">
        <v>29</v>
      </c>
      <c r="J994" t="s">
        <v>31</v>
      </c>
      <c r="K994" t="s">
        <v>38</v>
      </c>
      <c r="L994" t="s">
        <v>30</v>
      </c>
      <c r="M994" t="s">
        <v>83</v>
      </c>
      <c r="N994">
        <v>10</v>
      </c>
      <c r="O994">
        <v>4</v>
      </c>
      <c r="P994">
        <v>0</v>
      </c>
      <c r="Q994">
        <v>569.1161356628983</v>
      </c>
      <c r="R994">
        <v>3.854059609455293</v>
      </c>
      <c r="S994">
        <v>147.6666666666667</v>
      </c>
      <c r="T994">
        <v>0</v>
      </c>
      <c r="U994">
        <v>0</v>
      </c>
      <c r="V994">
        <v>0</v>
      </c>
      <c r="W994">
        <v>7.703459047867175</v>
      </c>
      <c r="X994">
        <v>0</v>
      </c>
    </row>
    <row r="995" spans="1:24">
      <c r="A995" t="s">
        <v>3024</v>
      </c>
      <c r="B995" t="s">
        <v>3025</v>
      </c>
      <c r="C995" t="s">
        <v>52</v>
      </c>
      <c r="D995">
        <v>8.238</v>
      </c>
      <c r="E995">
        <v>772</v>
      </c>
      <c r="F995">
        <v>19</v>
      </c>
      <c r="G995" t="s">
        <v>47</v>
      </c>
      <c r="H995" t="s">
        <v>3026</v>
      </c>
      <c r="I995" t="s">
        <v>29</v>
      </c>
      <c r="J995" t="s">
        <v>31</v>
      </c>
      <c r="K995" t="s">
        <v>31</v>
      </c>
      <c r="L995" t="s">
        <v>31</v>
      </c>
      <c r="M995" t="s">
        <v>39</v>
      </c>
      <c r="N995">
        <v>10</v>
      </c>
      <c r="O995">
        <v>4</v>
      </c>
      <c r="P995">
        <v>0</v>
      </c>
      <c r="Q995">
        <v>93.7120660354455</v>
      </c>
      <c r="R995">
        <v>2.306385044913814</v>
      </c>
      <c r="S995">
        <v>40.63157894736842</v>
      </c>
      <c r="T995">
        <v>0</v>
      </c>
      <c r="U995">
        <v>0</v>
      </c>
      <c r="V995">
        <v>0</v>
      </c>
      <c r="W995">
        <v>6.650279048587422</v>
      </c>
      <c r="X995">
        <v>0</v>
      </c>
    </row>
    <row r="996" spans="1:24">
      <c r="A996" t="s">
        <v>3027</v>
      </c>
      <c r="B996" t="s">
        <v>3028</v>
      </c>
      <c r="C996" t="s">
        <v>35</v>
      </c>
      <c r="D996">
        <v>1.049</v>
      </c>
      <c r="E996">
        <v>1655</v>
      </c>
      <c r="F996">
        <v>20</v>
      </c>
      <c r="G996" t="s">
        <v>36</v>
      </c>
      <c r="H996" t="s">
        <v>3029</v>
      </c>
      <c r="I996" t="s">
        <v>29</v>
      </c>
      <c r="J996" t="s">
        <v>38</v>
      </c>
      <c r="K996" t="s">
        <v>30</v>
      </c>
      <c r="L996" t="s">
        <v>31</v>
      </c>
      <c r="M996" t="s">
        <v>39</v>
      </c>
      <c r="N996">
        <v>10</v>
      </c>
      <c r="O996">
        <v>4</v>
      </c>
      <c r="P996">
        <v>0</v>
      </c>
      <c r="Q996">
        <v>1577.693040991421</v>
      </c>
      <c r="R996">
        <v>19.06577693040992</v>
      </c>
      <c r="S996">
        <v>82.75</v>
      </c>
      <c r="T996">
        <v>0</v>
      </c>
      <c r="U996">
        <v>0</v>
      </c>
      <c r="V996">
        <v>0</v>
      </c>
      <c r="W996">
        <v>7.412160334945205</v>
      </c>
      <c r="X996">
        <v>0</v>
      </c>
    </row>
    <row r="997" spans="1:24">
      <c r="A997" t="s">
        <v>3030</v>
      </c>
      <c r="B997" t="s">
        <v>3031</v>
      </c>
      <c r="C997" t="s">
        <v>26</v>
      </c>
      <c r="D997">
        <v>1.006</v>
      </c>
      <c r="E997">
        <v>5230</v>
      </c>
      <c r="F997">
        <v>19</v>
      </c>
      <c r="G997" t="s">
        <v>36</v>
      </c>
      <c r="H997" t="s">
        <v>3032</v>
      </c>
      <c r="I997" t="s">
        <v>29</v>
      </c>
      <c r="J997" t="s">
        <v>38</v>
      </c>
      <c r="K997" t="s">
        <v>30</v>
      </c>
      <c r="L997" t="s">
        <v>30</v>
      </c>
      <c r="M997" t="s">
        <v>32</v>
      </c>
      <c r="N997">
        <v>10</v>
      </c>
      <c r="O997">
        <v>4</v>
      </c>
      <c r="P997">
        <v>0</v>
      </c>
      <c r="Q997">
        <v>5198.807157057654</v>
      </c>
      <c r="R997">
        <v>18.88667992047713</v>
      </c>
      <c r="S997">
        <v>275.2631578947368</v>
      </c>
      <c r="T997">
        <v>0</v>
      </c>
      <c r="U997">
        <v>0</v>
      </c>
      <c r="V997">
        <v>0</v>
      </c>
      <c r="W997">
        <v>8.562357743370612</v>
      </c>
      <c r="X997">
        <v>0</v>
      </c>
    </row>
    <row r="998" spans="1:24">
      <c r="A998" t="s">
        <v>3033</v>
      </c>
      <c r="B998" t="s">
        <v>3034</v>
      </c>
      <c r="C998" t="s">
        <v>26</v>
      </c>
      <c r="D998">
        <v>2.276</v>
      </c>
      <c r="E998">
        <v>66162</v>
      </c>
      <c r="F998">
        <v>91</v>
      </c>
      <c r="G998" t="s">
        <v>36</v>
      </c>
      <c r="H998" t="s">
        <v>3035</v>
      </c>
      <c r="I998" t="s">
        <v>49</v>
      </c>
      <c r="J998" t="s">
        <v>38</v>
      </c>
      <c r="K998" t="s">
        <v>30</v>
      </c>
      <c r="L998" t="s">
        <v>30</v>
      </c>
      <c r="M998" t="s">
        <v>97</v>
      </c>
      <c r="N998">
        <v>11</v>
      </c>
      <c r="O998">
        <v>4</v>
      </c>
      <c r="P998">
        <v>0</v>
      </c>
      <c r="Q998">
        <v>29069.42003514939</v>
      </c>
      <c r="R998">
        <v>39.98242530755712</v>
      </c>
      <c r="S998">
        <v>727.0549450549451</v>
      </c>
      <c r="T998">
        <v>0</v>
      </c>
      <c r="U998">
        <v>0</v>
      </c>
      <c r="V998">
        <v>1</v>
      </c>
      <c r="W998">
        <v>11.09987667328864</v>
      </c>
      <c r="X998">
        <v>1</v>
      </c>
    </row>
    <row r="999" spans="1:24">
      <c r="A999" t="s">
        <v>3036</v>
      </c>
      <c r="B999" t="s">
        <v>3037</v>
      </c>
      <c r="C999" t="s">
        <v>35</v>
      </c>
      <c r="D999">
        <v>0.019</v>
      </c>
      <c r="E999">
        <v>533</v>
      </c>
      <c r="F999">
        <v>4</v>
      </c>
      <c r="G999" t="s">
        <v>36</v>
      </c>
      <c r="H999" t="s">
        <v>3038</v>
      </c>
      <c r="I999" t="s">
        <v>90</v>
      </c>
      <c r="J999" t="s">
        <v>38</v>
      </c>
      <c r="K999" t="s">
        <v>30</v>
      </c>
      <c r="L999" t="s">
        <v>31</v>
      </c>
      <c r="M999" t="s">
        <v>83</v>
      </c>
      <c r="N999">
        <v>11</v>
      </c>
      <c r="O999">
        <v>4</v>
      </c>
      <c r="P999">
        <v>0</v>
      </c>
      <c r="Q999">
        <v>28052.63157894737</v>
      </c>
      <c r="R999">
        <v>210.5263157894737</v>
      </c>
      <c r="S999">
        <v>133.25</v>
      </c>
      <c r="T999">
        <v>0</v>
      </c>
      <c r="U999">
        <v>0</v>
      </c>
      <c r="V999">
        <v>0</v>
      </c>
      <c r="W999">
        <v>6.280395838960195</v>
      </c>
      <c r="X999">
        <v>1</v>
      </c>
    </row>
    <row r="1000" spans="1:24">
      <c r="A1000" t="s">
        <v>3039</v>
      </c>
      <c r="B1000" t="s">
        <v>3040</v>
      </c>
      <c r="C1000" t="s">
        <v>26</v>
      </c>
      <c r="D1000">
        <v>7.027</v>
      </c>
      <c r="E1000">
        <v>2331</v>
      </c>
      <c r="F1000">
        <v>16</v>
      </c>
      <c r="G1000" t="s">
        <v>47</v>
      </c>
      <c r="H1000" t="s">
        <v>3041</v>
      </c>
      <c r="I1000" t="s">
        <v>29</v>
      </c>
      <c r="J1000" t="s">
        <v>31</v>
      </c>
      <c r="K1000" t="s">
        <v>30</v>
      </c>
      <c r="L1000" t="s">
        <v>30</v>
      </c>
      <c r="M1000" t="s">
        <v>44</v>
      </c>
      <c r="N1000">
        <v>11</v>
      </c>
      <c r="O1000">
        <v>4</v>
      </c>
      <c r="P1000">
        <v>0</v>
      </c>
      <c r="Q1000">
        <v>331.7205066173331</v>
      </c>
      <c r="R1000">
        <v>2.276931834353209</v>
      </c>
      <c r="S1000">
        <v>145.6875</v>
      </c>
      <c r="T1000">
        <v>0</v>
      </c>
      <c r="U1000">
        <v>0</v>
      </c>
      <c r="V1000">
        <v>0</v>
      </c>
      <c r="W1000">
        <v>7.754481547470383</v>
      </c>
      <c r="X1000">
        <v>0</v>
      </c>
    </row>
    <row r="1001" spans="1:24">
      <c r="A1001" t="s">
        <v>3042</v>
      </c>
      <c r="B1001" t="s">
        <v>3043</v>
      </c>
      <c r="C1001" t="s">
        <v>35</v>
      </c>
      <c r="D1001">
        <v>5.15</v>
      </c>
      <c r="E1001">
        <v>3663</v>
      </c>
      <c r="F1001">
        <v>15</v>
      </c>
      <c r="G1001" t="s">
        <v>62</v>
      </c>
      <c r="H1001" t="s">
        <v>3044</v>
      </c>
      <c r="I1001" t="s">
        <v>29</v>
      </c>
      <c r="J1001" t="s">
        <v>30</v>
      </c>
      <c r="K1001" t="s">
        <v>30</v>
      </c>
      <c r="L1001" t="s">
        <v>31</v>
      </c>
      <c r="M1001" t="s">
        <v>39</v>
      </c>
      <c r="N1001">
        <v>11</v>
      </c>
      <c r="O1001">
        <v>4</v>
      </c>
      <c r="P1001">
        <v>0</v>
      </c>
      <c r="Q1001">
        <v>711.26213592233</v>
      </c>
      <c r="R1001">
        <v>2.912621359223301</v>
      </c>
      <c r="S1001">
        <v>244.2</v>
      </c>
      <c r="T1001">
        <v>0</v>
      </c>
      <c r="U1001">
        <v>0</v>
      </c>
      <c r="V1001">
        <v>0</v>
      </c>
      <c r="W1001">
        <v>8.206310725794021</v>
      </c>
      <c r="X1001">
        <v>0</v>
      </c>
    </row>
    <row r="1002" spans="1:24">
      <c r="A1002" t="s">
        <v>3045</v>
      </c>
      <c r="B1002" t="s">
        <v>3046</v>
      </c>
      <c r="C1002" t="s">
        <v>35</v>
      </c>
      <c r="D1002">
        <v>3.324</v>
      </c>
      <c r="E1002">
        <v>7033</v>
      </c>
      <c r="F1002">
        <v>17</v>
      </c>
      <c r="G1002" t="s">
        <v>36</v>
      </c>
      <c r="H1002" t="s">
        <v>3047</v>
      </c>
      <c r="I1002" t="s">
        <v>29</v>
      </c>
      <c r="J1002" t="s">
        <v>38</v>
      </c>
      <c r="K1002" t="s">
        <v>31</v>
      </c>
      <c r="L1002" t="s">
        <v>30</v>
      </c>
      <c r="M1002" t="s">
        <v>44</v>
      </c>
      <c r="N1002">
        <v>11</v>
      </c>
      <c r="O1002">
        <v>4</v>
      </c>
      <c r="P1002">
        <v>0</v>
      </c>
      <c r="Q1002">
        <v>2115.824308062576</v>
      </c>
      <c r="R1002">
        <v>5.114320096269555</v>
      </c>
      <c r="S1002">
        <v>413.7058823529412</v>
      </c>
      <c r="T1002">
        <v>0</v>
      </c>
      <c r="U1002">
        <v>0</v>
      </c>
      <c r="V1002">
        <v>0</v>
      </c>
      <c r="W1002">
        <v>8.858510813033927</v>
      </c>
      <c r="X1002">
        <v>0</v>
      </c>
    </row>
    <row r="1003" spans="1:24">
      <c r="A1003" t="s">
        <v>3048</v>
      </c>
      <c r="B1003" t="s">
        <v>3049</v>
      </c>
      <c r="C1003" t="s">
        <v>26</v>
      </c>
      <c r="D1003">
        <v>1.89</v>
      </c>
      <c r="E1003">
        <v>2549</v>
      </c>
      <c r="F1003">
        <v>16</v>
      </c>
      <c r="G1003" t="s">
        <v>47</v>
      </c>
      <c r="H1003" t="s">
        <v>3050</v>
      </c>
      <c r="I1003" t="s">
        <v>29</v>
      </c>
      <c r="J1003" t="s">
        <v>31</v>
      </c>
      <c r="K1003" t="s">
        <v>30</v>
      </c>
      <c r="L1003" t="s">
        <v>30</v>
      </c>
      <c r="M1003" t="s">
        <v>97</v>
      </c>
      <c r="N1003">
        <v>11</v>
      </c>
      <c r="O1003">
        <v>4</v>
      </c>
      <c r="P1003">
        <v>0</v>
      </c>
      <c r="Q1003">
        <v>1348.677248677249</v>
      </c>
      <c r="R1003">
        <v>8.465608465608467</v>
      </c>
      <c r="S1003">
        <v>159.3125</v>
      </c>
      <c r="T1003">
        <v>0</v>
      </c>
      <c r="U1003">
        <v>0</v>
      </c>
      <c r="V1003">
        <v>0</v>
      </c>
      <c r="W1003">
        <v>7.843848638152472</v>
      </c>
      <c r="X1003">
        <v>0</v>
      </c>
    </row>
    <row r="1004" spans="1:24">
      <c r="A1004" t="s">
        <v>3051</v>
      </c>
      <c r="B1004" t="s">
        <v>3052</v>
      </c>
      <c r="C1004" t="s">
        <v>35</v>
      </c>
      <c r="D1004">
        <v>2.234</v>
      </c>
      <c r="E1004">
        <v>12292</v>
      </c>
      <c r="F1004">
        <v>20</v>
      </c>
      <c r="G1004" t="s">
        <v>27</v>
      </c>
      <c r="H1004" t="s">
        <v>3053</v>
      </c>
      <c r="I1004" t="s">
        <v>29</v>
      </c>
      <c r="J1004" t="s">
        <v>30</v>
      </c>
      <c r="K1004" t="s">
        <v>38</v>
      </c>
      <c r="L1004" t="s">
        <v>30</v>
      </c>
      <c r="M1004" t="s">
        <v>44</v>
      </c>
      <c r="N1004">
        <v>11</v>
      </c>
      <c r="O1004">
        <v>4</v>
      </c>
      <c r="P1004">
        <v>0</v>
      </c>
      <c r="Q1004">
        <v>5502.238137869293</v>
      </c>
      <c r="R1004">
        <v>8.952551477170994</v>
      </c>
      <c r="S1004">
        <v>614.6</v>
      </c>
      <c r="T1004">
        <v>0</v>
      </c>
      <c r="U1004">
        <v>0</v>
      </c>
      <c r="V1004">
        <v>1</v>
      </c>
      <c r="W1004">
        <v>9.41678527366734</v>
      </c>
      <c r="X1004">
        <v>0</v>
      </c>
    </row>
    <row r="1005" spans="1:24">
      <c r="A1005" t="s">
        <v>3054</v>
      </c>
      <c r="B1005" t="s">
        <v>3055</v>
      </c>
      <c r="C1005" t="s">
        <v>35</v>
      </c>
      <c r="D1005">
        <v>4.447</v>
      </c>
      <c r="E1005">
        <v>1426</v>
      </c>
      <c r="F1005">
        <v>9</v>
      </c>
      <c r="G1005" t="s">
        <v>62</v>
      </c>
      <c r="H1005" t="s">
        <v>3056</v>
      </c>
      <c r="I1005" t="s">
        <v>29</v>
      </c>
      <c r="J1005" t="s">
        <v>30</v>
      </c>
      <c r="K1005" t="s">
        <v>31</v>
      </c>
      <c r="L1005" t="s">
        <v>31</v>
      </c>
      <c r="M1005" t="s">
        <v>44</v>
      </c>
      <c r="N1005">
        <v>11</v>
      </c>
      <c r="O1005">
        <v>4</v>
      </c>
      <c r="P1005">
        <v>0</v>
      </c>
      <c r="Q1005">
        <v>320.6656172700697</v>
      </c>
      <c r="R1005">
        <v>2.023836294130875</v>
      </c>
      <c r="S1005">
        <v>158.4444444444445</v>
      </c>
      <c r="T1005">
        <v>0</v>
      </c>
      <c r="U1005">
        <v>0</v>
      </c>
      <c r="V1005">
        <v>0</v>
      </c>
      <c r="W1005">
        <v>7.263329617476836</v>
      </c>
      <c r="X1005">
        <v>0</v>
      </c>
    </row>
    <row r="1006" spans="1:24">
      <c r="A1006" t="s">
        <v>3057</v>
      </c>
      <c r="B1006" t="s">
        <v>3058</v>
      </c>
      <c r="C1006" t="s">
        <v>26</v>
      </c>
      <c r="D1006">
        <v>6.513</v>
      </c>
      <c r="E1006">
        <v>8792</v>
      </c>
      <c r="F1006">
        <v>128</v>
      </c>
      <c r="G1006" t="s">
        <v>62</v>
      </c>
      <c r="H1006" t="s">
        <v>3059</v>
      </c>
      <c r="I1006" t="s">
        <v>49</v>
      </c>
      <c r="J1006" t="s">
        <v>30</v>
      </c>
      <c r="K1006" t="s">
        <v>38</v>
      </c>
      <c r="L1006" t="s">
        <v>30</v>
      </c>
      <c r="M1006" t="s">
        <v>97</v>
      </c>
      <c r="N1006">
        <v>11</v>
      </c>
      <c r="O1006">
        <v>4</v>
      </c>
      <c r="P1006">
        <v>0</v>
      </c>
      <c r="Q1006">
        <v>1349.915553508368</v>
      </c>
      <c r="R1006">
        <v>19.65300168892984</v>
      </c>
      <c r="S1006">
        <v>68.6875</v>
      </c>
      <c r="T1006">
        <v>0</v>
      </c>
      <c r="U1006">
        <v>0</v>
      </c>
      <c r="V1006">
        <v>0</v>
      </c>
      <c r="W1006">
        <v>9.081711229379</v>
      </c>
      <c r="X1006">
        <v>1</v>
      </c>
    </row>
    <row r="1007" spans="1:24">
      <c r="A1007" t="s">
        <v>3060</v>
      </c>
      <c r="B1007" t="s">
        <v>3061</v>
      </c>
      <c r="C1007" t="s">
        <v>35</v>
      </c>
      <c r="D1007">
        <v>2.943</v>
      </c>
      <c r="E1007">
        <v>1541</v>
      </c>
      <c r="F1007">
        <v>19</v>
      </c>
      <c r="G1007" t="s">
        <v>27</v>
      </c>
      <c r="H1007" t="s">
        <v>3062</v>
      </c>
      <c r="I1007" t="s">
        <v>29</v>
      </c>
      <c r="J1007" t="s">
        <v>30</v>
      </c>
      <c r="K1007" t="s">
        <v>30</v>
      </c>
      <c r="L1007" t="s">
        <v>38</v>
      </c>
      <c r="M1007" t="s">
        <v>44</v>
      </c>
      <c r="N1007">
        <v>11</v>
      </c>
      <c r="O1007">
        <v>4</v>
      </c>
      <c r="P1007">
        <v>0</v>
      </c>
      <c r="Q1007">
        <v>523.6153584777438</v>
      </c>
      <c r="R1007">
        <v>6.455997281685355</v>
      </c>
      <c r="S1007">
        <v>81.10526315789474</v>
      </c>
      <c r="T1007">
        <v>0</v>
      </c>
      <c r="U1007">
        <v>0</v>
      </c>
      <c r="V1007">
        <v>0</v>
      </c>
      <c r="W1007">
        <v>7.340835554123275</v>
      </c>
      <c r="X1007">
        <v>0</v>
      </c>
    </row>
    <row r="1008" spans="1:24">
      <c r="A1008" t="s">
        <v>3063</v>
      </c>
      <c r="B1008" t="s">
        <v>3064</v>
      </c>
      <c r="C1008" t="s">
        <v>26</v>
      </c>
      <c r="D1008">
        <v>6.012</v>
      </c>
      <c r="E1008">
        <v>529</v>
      </c>
      <c r="F1008">
        <v>12</v>
      </c>
      <c r="G1008" t="s">
        <v>62</v>
      </c>
      <c r="H1008" t="s">
        <v>3065</v>
      </c>
      <c r="I1008" t="s">
        <v>29</v>
      </c>
      <c r="J1008" t="s">
        <v>30</v>
      </c>
      <c r="K1008" t="s">
        <v>30</v>
      </c>
      <c r="L1008" t="s">
        <v>31</v>
      </c>
      <c r="M1008" t="s">
        <v>97</v>
      </c>
      <c r="N1008">
        <v>11</v>
      </c>
      <c r="O1008">
        <v>4</v>
      </c>
      <c r="P1008">
        <v>0</v>
      </c>
      <c r="Q1008">
        <v>87.99068529607452</v>
      </c>
      <c r="R1008">
        <v>1.996007984031936</v>
      </c>
      <c r="S1008">
        <v>44.08333333333334</v>
      </c>
      <c r="T1008">
        <v>0</v>
      </c>
      <c r="U1008">
        <v>0</v>
      </c>
      <c r="V1008">
        <v>0</v>
      </c>
      <c r="W1008">
        <v>6.272877006546167</v>
      </c>
      <c r="X1008">
        <v>0</v>
      </c>
    </row>
    <row r="1009" spans="1:24">
      <c r="A1009" t="s">
        <v>3066</v>
      </c>
      <c r="B1009" t="s">
        <v>3067</v>
      </c>
      <c r="C1009" t="s">
        <v>35</v>
      </c>
      <c r="D1009">
        <v>1.685</v>
      </c>
      <c r="E1009">
        <v>1141</v>
      </c>
      <c r="F1009">
        <v>22</v>
      </c>
      <c r="G1009" t="s">
        <v>36</v>
      </c>
      <c r="H1009" t="s">
        <v>3068</v>
      </c>
      <c r="I1009" t="s">
        <v>29</v>
      </c>
      <c r="J1009" t="s">
        <v>38</v>
      </c>
      <c r="K1009" t="s">
        <v>30</v>
      </c>
      <c r="L1009" t="s">
        <v>31</v>
      </c>
      <c r="M1009" t="s">
        <v>44</v>
      </c>
      <c r="N1009">
        <v>11</v>
      </c>
      <c r="O1009">
        <v>4</v>
      </c>
      <c r="P1009">
        <v>0</v>
      </c>
      <c r="Q1009">
        <v>677.1513353115727</v>
      </c>
      <c r="R1009">
        <v>13.05637982195846</v>
      </c>
      <c r="S1009">
        <v>51.86363636363637</v>
      </c>
      <c r="T1009">
        <v>0</v>
      </c>
      <c r="U1009">
        <v>0</v>
      </c>
      <c r="V1009">
        <v>0</v>
      </c>
      <c r="W1009">
        <v>7.040536390215956</v>
      </c>
      <c r="X1009">
        <v>0</v>
      </c>
    </row>
    <row r="1010" spans="1:24">
      <c r="A1010" t="s">
        <v>3069</v>
      </c>
      <c r="B1010" t="s">
        <v>3070</v>
      </c>
      <c r="C1010" t="s">
        <v>35</v>
      </c>
      <c r="D1010">
        <v>2.502</v>
      </c>
      <c r="E1010">
        <v>9304</v>
      </c>
      <c r="F1010">
        <v>13</v>
      </c>
      <c r="G1010" t="s">
        <v>36</v>
      </c>
      <c r="H1010" t="s">
        <v>3071</v>
      </c>
      <c r="I1010" t="s">
        <v>29</v>
      </c>
      <c r="J1010" t="s">
        <v>38</v>
      </c>
      <c r="K1010" t="s">
        <v>38</v>
      </c>
      <c r="L1010" t="s">
        <v>31</v>
      </c>
      <c r="M1010" t="s">
        <v>76</v>
      </c>
      <c r="N1010">
        <v>12</v>
      </c>
      <c r="O1010">
        <v>4</v>
      </c>
      <c r="P1010">
        <v>0</v>
      </c>
      <c r="Q1010">
        <v>3718.625099920064</v>
      </c>
      <c r="R1010">
        <v>5.195843325339728</v>
      </c>
      <c r="S1010">
        <v>715.6923076923077</v>
      </c>
      <c r="T1010">
        <v>0</v>
      </c>
      <c r="U1010">
        <v>0</v>
      </c>
      <c r="V1010">
        <v>0</v>
      </c>
      <c r="W1010">
        <v>9.13830716907635</v>
      </c>
      <c r="X1010">
        <v>0</v>
      </c>
    </row>
    <row r="1011" spans="1:24">
      <c r="A1011" t="s">
        <v>3072</v>
      </c>
      <c r="B1011" t="s">
        <v>3073</v>
      </c>
      <c r="C1011" t="s">
        <v>26</v>
      </c>
      <c r="D1011">
        <v>6.696</v>
      </c>
      <c r="E1011">
        <v>5030</v>
      </c>
      <c r="F1011">
        <v>26</v>
      </c>
      <c r="G1011" t="s">
        <v>62</v>
      </c>
      <c r="H1011" t="s">
        <v>3074</v>
      </c>
      <c r="I1011" t="s">
        <v>29</v>
      </c>
      <c r="J1011" t="s">
        <v>30</v>
      </c>
      <c r="K1011" t="s">
        <v>31</v>
      </c>
      <c r="L1011" t="s">
        <v>31</v>
      </c>
      <c r="M1011" t="s">
        <v>97</v>
      </c>
      <c r="N1011">
        <v>12</v>
      </c>
      <c r="O1011">
        <v>4</v>
      </c>
      <c r="P1011">
        <v>0</v>
      </c>
      <c r="Q1011">
        <v>751.194743130227</v>
      </c>
      <c r="R1011">
        <v>3.882915173237754</v>
      </c>
      <c r="S1011">
        <v>193.4615384615385</v>
      </c>
      <c r="T1011">
        <v>0</v>
      </c>
      <c r="U1011">
        <v>0</v>
      </c>
      <c r="V1011">
        <v>0</v>
      </c>
      <c r="W1011">
        <v>8.523374050491318</v>
      </c>
      <c r="X1011">
        <v>0</v>
      </c>
    </row>
    <row r="1012" spans="1:24">
      <c r="A1012" t="s">
        <v>3075</v>
      </c>
      <c r="B1012" t="s">
        <v>3076</v>
      </c>
      <c r="C1012" t="s">
        <v>26</v>
      </c>
      <c r="D1012">
        <v>6.249</v>
      </c>
      <c r="E1012">
        <v>1341</v>
      </c>
      <c r="F1012">
        <v>27</v>
      </c>
      <c r="G1012" t="s">
        <v>47</v>
      </c>
      <c r="H1012" t="s">
        <v>3077</v>
      </c>
      <c r="I1012" t="s">
        <v>29</v>
      </c>
      <c r="J1012" t="s">
        <v>31</v>
      </c>
      <c r="K1012" t="s">
        <v>30</v>
      </c>
      <c r="L1012" t="s">
        <v>31</v>
      </c>
      <c r="M1012" t="s">
        <v>39</v>
      </c>
      <c r="N1012">
        <v>12</v>
      </c>
      <c r="O1012">
        <v>4</v>
      </c>
      <c r="P1012">
        <v>0</v>
      </c>
      <c r="Q1012">
        <v>214.594335093615</v>
      </c>
      <c r="R1012">
        <v>4.320691310609698</v>
      </c>
      <c r="S1012">
        <v>49.66666666666666</v>
      </c>
      <c r="T1012">
        <v>0</v>
      </c>
      <c r="U1012">
        <v>0</v>
      </c>
      <c r="V1012">
        <v>0</v>
      </c>
      <c r="W1012">
        <v>7.201916317531627</v>
      </c>
      <c r="X1012">
        <v>0</v>
      </c>
    </row>
    <row r="1013" spans="1:24">
      <c r="A1013" t="s">
        <v>3078</v>
      </c>
      <c r="B1013" t="s">
        <v>3079</v>
      </c>
      <c r="C1013" t="s">
        <v>35</v>
      </c>
      <c r="D1013">
        <v>0.41</v>
      </c>
      <c r="E1013">
        <v>1638</v>
      </c>
      <c r="F1013">
        <v>17</v>
      </c>
      <c r="G1013" t="s">
        <v>47</v>
      </c>
      <c r="H1013" t="s">
        <v>3080</v>
      </c>
      <c r="I1013" t="s">
        <v>29</v>
      </c>
      <c r="J1013" t="s">
        <v>31</v>
      </c>
      <c r="K1013" t="s">
        <v>30</v>
      </c>
      <c r="L1013" t="s">
        <v>30</v>
      </c>
      <c r="M1013" t="s">
        <v>39</v>
      </c>
      <c r="N1013">
        <v>12</v>
      </c>
      <c r="O1013">
        <v>4</v>
      </c>
      <c r="P1013">
        <v>0</v>
      </c>
      <c r="Q1013">
        <v>3995.121951219513</v>
      </c>
      <c r="R1013">
        <v>41.46341463414635</v>
      </c>
      <c r="S1013">
        <v>96.35294117647059</v>
      </c>
      <c r="T1013">
        <v>0</v>
      </c>
      <c r="U1013">
        <v>0</v>
      </c>
      <c r="V1013">
        <v>0</v>
      </c>
      <c r="W1013">
        <v>7.40184157874383</v>
      </c>
      <c r="X1013">
        <v>0</v>
      </c>
    </row>
    <row r="1014" spans="1:24">
      <c r="A1014" t="s">
        <v>3081</v>
      </c>
      <c r="B1014" t="s">
        <v>3082</v>
      </c>
      <c r="C1014" t="s">
        <v>35</v>
      </c>
      <c r="D1014">
        <v>2.9</v>
      </c>
      <c r="E1014">
        <v>1743</v>
      </c>
      <c r="F1014">
        <v>19</v>
      </c>
      <c r="G1014" t="s">
        <v>36</v>
      </c>
      <c r="H1014" t="s">
        <v>3083</v>
      </c>
      <c r="I1014" t="s">
        <v>29</v>
      </c>
      <c r="J1014" t="s">
        <v>38</v>
      </c>
      <c r="K1014" t="s">
        <v>30</v>
      </c>
      <c r="L1014" t="s">
        <v>38</v>
      </c>
      <c r="M1014" t="s">
        <v>97</v>
      </c>
      <c r="N1014">
        <v>12</v>
      </c>
      <c r="O1014">
        <v>4</v>
      </c>
      <c r="P1014">
        <v>0</v>
      </c>
      <c r="Q1014">
        <v>601.0344827586207</v>
      </c>
      <c r="R1014">
        <v>6.551724137931035</v>
      </c>
      <c r="S1014">
        <v>91.73684210526316</v>
      </c>
      <c r="T1014">
        <v>0</v>
      </c>
      <c r="U1014">
        <v>0</v>
      </c>
      <c r="V1014">
        <v>0</v>
      </c>
      <c r="W1014">
        <v>7.463936604468925</v>
      </c>
      <c r="X1014">
        <v>0</v>
      </c>
    </row>
    <row r="1015" spans="1:24">
      <c r="A1015" t="s">
        <v>3084</v>
      </c>
      <c r="B1015" t="s">
        <v>3085</v>
      </c>
      <c r="C1015" t="s">
        <v>35</v>
      </c>
      <c r="D1015">
        <v>0.767</v>
      </c>
      <c r="E1015">
        <v>437</v>
      </c>
      <c r="F1015">
        <v>12</v>
      </c>
      <c r="G1015" t="s">
        <v>47</v>
      </c>
      <c r="H1015" t="s">
        <v>3086</v>
      </c>
      <c r="I1015" t="s">
        <v>29</v>
      </c>
      <c r="J1015" t="s">
        <v>31</v>
      </c>
      <c r="K1015" t="s">
        <v>30</v>
      </c>
      <c r="L1015" t="s">
        <v>31</v>
      </c>
      <c r="M1015" t="s">
        <v>97</v>
      </c>
      <c r="N1015">
        <v>12</v>
      </c>
      <c r="O1015">
        <v>4</v>
      </c>
      <c r="P1015">
        <v>0</v>
      </c>
      <c r="Q1015">
        <v>569.7522816166884</v>
      </c>
      <c r="R1015">
        <v>15.64537157757497</v>
      </c>
      <c r="S1015">
        <v>36.41666666666666</v>
      </c>
      <c r="T1015">
        <v>0</v>
      </c>
      <c r="U1015">
        <v>0</v>
      </c>
      <c r="V1015">
        <v>0</v>
      </c>
      <c r="W1015">
        <v>6.082218910376446</v>
      </c>
      <c r="X1015">
        <v>0</v>
      </c>
    </row>
    <row r="1016" spans="1:24">
      <c r="A1016" t="s">
        <v>3087</v>
      </c>
      <c r="B1016" t="s">
        <v>3088</v>
      </c>
      <c r="C1016" t="s">
        <v>26</v>
      </c>
      <c r="D1016">
        <v>2.75</v>
      </c>
      <c r="E1016">
        <v>2973</v>
      </c>
      <c r="F1016">
        <v>12</v>
      </c>
      <c r="G1016" t="s">
        <v>62</v>
      </c>
      <c r="H1016" t="s">
        <v>3089</v>
      </c>
      <c r="I1016" t="s">
        <v>29</v>
      </c>
      <c r="J1016" t="s">
        <v>30</v>
      </c>
      <c r="K1016" t="s">
        <v>31</v>
      </c>
      <c r="L1016" t="s">
        <v>31</v>
      </c>
      <c r="M1016" t="s">
        <v>97</v>
      </c>
      <c r="N1016">
        <v>12</v>
      </c>
      <c r="O1016">
        <v>4</v>
      </c>
      <c r="P1016">
        <v>0</v>
      </c>
      <c r="Q1016">
        <v>1081.090909090909</v>
      </c>
      <c r="R1016">
        <v>4.363636363636363</v>
      </c>
      <c r="S1016">
        <v>247.75</v>
      </c>
      <c r="T1016">
        <v>0</v>
      </c>
      <c r="U1016">
        <v>0</v>
      </c>
      <c r="V1016">
        <v>0</v>
      </c>
      <c r="W1016">
        <v>7.9976631270201</v>
      </c>
      <c r="X1016">
        <v>0</v>
      </c>
    </row>
    <row r="1017" spans="1:24">
      <c r="A1017" t="s">
        <v>3090</v>
      </c>
      <c r="B1017" t="s">
        <v>3091</v>
      </c>
      <c r="C1017" t="s">
        <v>26</v>
      </c>
      <c r="D1017">
        <v>5.422</v>
      </c>
      <c r="E1017">
        <v>1653</v>
      </c>
      <c r="F1017">
        <v>15</v>
      </c>
      <c r="G1017" t="s">
        <v>47</v>
      </c>
      <c r="H1017" t="s">
        <v>3092</v>
      </c>
      <c r="I1017" t="s">
        <v>29</v>
      </c>
      <c r="J1017" t="s">
        <v>31</v>
      </c>
      <c r="K1017" t="s">
        <v>30</v>
      </c>
      <c r="L1017" t="s">
        <v>31</v>
      </c>
      <c r="M1017" t="s">
        <v>44</v>
      </c>
      <c r="N1017">
        <v>12</v>
      </c>
      <c r="O1017">
        <v>4</v>
      </c>
      <c r="P1017">
        <v>0</v>
      </c>
      <c r="Q1017">
        <v>304.8690520103283</v>
      </c>
      <c r="R1017">
        <v>2.766506824050166</v>
      </c>
      <c r="S1017">
        <v>110.2</v>
      </c>
      <c r="T1017">
        <v>0</v>
      </c>
      <c r="U1017">
        <v>0</v>
      </c>
      <c r="V1017">
        <v>0</v>
      </c>
      <c r="W1017">
        <v>7.410951875583635</v>
      </c>
      <c r="X1017">
        <v>0</v>
      </c>
    </row>
    <row r="1018" spans="1:24">
      <c r="A1018" t="s">
        <v>3093</v>
      </c>
      <c r="B1018" t="s">
        <v>3094</v>
      </c>
      <c r="C1018" t="s">
        <v>52</v>
      </c>
      <c r="D1018">
        <v>2.997</v>
      </c>
      <c r="E1018">
        <v>33054</v>
      </c>
      <c r="F1018">
        <v>72</v>
      </c>
      <c r="G1018" t="s">
        <v>62</v>
      </c>
      <c r="H1018" t="s">
        <v>3095</v>
      </c>
      <c r="I1018" t="s">
        <v>49</v>
      </c>
      <c r="J1018" t="s">
        <v>30</v>
      </c>
      <c r="K1018" t="s">
        <v>31</v>
      </c>
      <c r="L1018" t="s">
        <v>38</v>
      </c>
      <c r="M1018" t="s">
        <v>97</v>
      </c>
      <c r="N1018">
        <v>12</v>
      </c>
      <c r="O1018">
        <v>4</v>
      </c>
      <c r="P1018">
        <v>0</v>
      </c>
      <c r="Q1018">
        <v>11029.02902902903</v>
      </c>
      <c r="R1018">
        <v>24.02402402402402</v>
      </c>
      <c r="S1018">
        <v>459.0833333333333</v>
      </c>
      <c r="T1018">
        <v>0</v>
      </c>
      <c r="U1018">
        <v>0</v>
      </c>
      <c r="V1018">
        <v>1</v>
      </c>
      <c r="W1018">
        <v>10.40592811976768</v>
      </c>
      <c r="X1018">
        <v>1</v>
      </c>
    </row>
    <row r="1019" spans="1:24">
      <c r="A1019" t="s">
        <v>3096</v>
      </c>
      <c r="B1019" t="s">
        <v>3097</v>
      </c>
      <c r="C1019" t="s">
        <v>26</v>
      </c>
      <c r="D1019">
        <v>1.045</v>
      </c>
      <c r="E1019">
        <v>793</v>
      </c>
      <c r="F1019">
        <v>29</v>
      </c>
      <c r="G1019" t="s">
        <v>62</v>
      </c>
      <c r="H1019" t="s">
        <v>3098</v>
      </c>
      <c r="I1019" t="s">
        <v>29</v>
      </c>
      <c r="J1019" t="s">
        <v>30</v>
      </c>
      <c r="K1019" t="s">
        <v>30</v>
      </c>
      <c r="L1019" t="s">
        <v>38</v>
      </c>
      <c r="M1019" t="s">
        <v>97</v>
      </c>
      <c r="N1019">
        <v>12</v>
      </c>
      <c r="O1019">
        <v>4</v>
      </c>
      <c r="P1019">
        <v>0</v>
      </c>
      <c r="Q1019">
        <v>758.8516746411484</v>
      </c>
      <c r="R1019">
        <v>27.75119617224881</v>
      </c>
      <c r="S1019">
        <v>27.3448275862069</v>
      </c>
      <c r="T1019">
        <v>0</v>
      </c>
      <c r="U1019">
        <v>0</v>
      </c>
      <c r="V1019">
        <v>0</v>
      </c>
      <c r="W1019">
        <v>6.677083461247136</v>
      </c>
      <c r="X1019">
        <v>0</v>
      </c>
    </row>
    <row r="1020" spans="1:24">
      <c r="A1020" t="s">
        <v>3099</v>
      </c>
      <c r="B1020" t="s">
        <v>3100</v>
      </c>
      <c r="C1020" t="s">
        <v>35</v>
      </c>
      <c r="D1020">
        <v>5.647</v>
      </c>
      <c r="E1020">
        <v>1346</v>
      </c>
      <c r="F1020">
        <v>24</v>
      </c>
      <c r="G1020" t="s">
        <v>62</v>
      </c>
      <c r="H1020" t="s">
        <v>3101</v>
      </c>
      <c r="I1020" t="s">
        <v>29</v>
      </c>
      <c r="J1020" t="s">
        <v>30</v>
      </c>
      <c r="K1020" t="s">
        <v>31</v>
      </c>
      <c r="L1020" t="s">
        <v>30</v>
      </c>
      <c r="M1020" t="s">
        <v>32</v>
      </c>
      <c r="N1020">
        <v>12</v>
      </c>
      <c r="O1020">
        <v>4</v>
      </c>
      <c r="P1020">
        <v>0</v>
      </c>
      <c r="Q1020">
        <v>238.3566495484328</v>
      </c>
      <c r="R1020">
        <v>4.250044271294493</v>
      </c>
      <c r="S1020">
        <v>56.08333333333334</v>
      </c>
      <c r="T1020">
        <v>0</v>
      </c>
      <c r="U1020">
        <v>0</v>
      </c>
      <c r="V1020">
        <v>0</v>
      </c>
      <c r="W1020">
        <v>7.205635176410364</v>
      </c>
      <c r="X1020">
        <v>0</v>
      </c>
    </row>
    <row r="1021" spans="1:24">
      <c r="A1021" t="s">
        <v>3102</v>
      </c>
      <c r="B1021" t="s">
        <v>3103</v>
      </c>
      <c r="C1021" t="s">
        <v>26</v>
      </c>
      <c r="D1021">
        <v>0.903</v>
      </c>
      <c r="E1021">
        <v>4765</v>
      </c>
      <c r="F1021">
        <v>15</v>
      </c>
      <c r="G1021" t="s">
        <v>36</v>
      </c>
      <c r="H1021" t="s">
        <v>3104</v>
      </c>
      <c r="I1021" t="s">
        <v>29</v>
      </c>
      <c r="J1021" t="s">
        <v>38</v>
      </c>
      <c r="K1021" t="s">
        <v>31</v>
      </c>
      <c r="L1021" t="s">
        <v>31</v>
      </c>
      <c r="M1021" t="s">
        <v>97</v>
      </c>
      <c r="N1021">
        <v>12</v>
      </c>
      <c r="O1021">
        <v>4</v>
      </c>
      <c r="P1021">
        <v>0</v>
      </c>
      <c r="Q1021">
        <v>5276.854928017719</v>
      </c>
      <c r="R1021">
        <v>16.61129568106312</v>
      </c>
      <c r="S1021">
        <v>317.6666666666667</v>
      </c>
      <c r="T1021">
        <v>0</v>
      </c>
      <c r="U1021">
        <v>0</v>
      </c>
      <c r="V1021">
        <v>0</v>
      </c>
      <c r="W1021">
        <v>8.469262657658687</v>
      </c>
      <c r="X1021">
        <v>0</v>
      </c>
    </row>
    <row r="1022" spans="1:24">
      <c r="A1022" t="s">
        <v>3105</v>
      </c>
      <c r="B1022" t="s">
        <v>3106</v>
      </c>
      <c r="C1022" t="s">
        <v>35</v>
      </c>
      <c r="D1022">
        <v>2.481</v>
      </c>
      <c r="E1022">
        <v>5915</v>
      </c>
      <c r="F1022">
        <v>20</v>
      </c>
      <c r="G1022" t="s">
        <v>47</v>
      </c>
      <c r="H1022" t="s">
        <v>3107</v>
      </c>
      <c r="I1022" t="s">
        <v>29</v>
      </c>
      <c r="J1022" t="s">
        <v>31</v>
      </c>
      <c r="K1022" t="s">
        <v>30</v>
      </c>
      <c r="L1022" t="s">
        <v>31</v>
      </c>
      <c r="M1022" t="s">
        <v>32</v>
      </c>
      <c r="N1022">
        <v>13</v>
      </c>
      <c r="O1022">
        <v>4</v>
      </c>
      <c r="P1022">
        <v>0</v>
      </c>
      <c r="Q1022">
        <v>2384.119306731157</v>
      </c>
      <c r="R1022">
        <v>8.061265618702137</v>
      </c>
      <c r="S1022">
        <v>295.75</v>
      </c>
      <c r="T1022">
        <v>0</v>
      </c>
      <c r="U1022">
        <v>0</v>
      </c>
      <c r="V1022">
        <v>0</v>
      </c>
      <c r="W1022">
        <v>8.68541582383069</v>
      </c>
      <c r="X1022">
        <v>0</v>
      </c>
    </row>
    <row r="1023" spans="1:24">
      <c r="A1023" t="s">
        <v>3108</v>
      </c>
      <c r="B1023" t="s">
        <v>3109</v>
      </c>
      <c r="C1023" t="s">
        <v>130</v>
      </c>
      <c r="D1023">
        <v>2.766</v>
      </c>
      <c r="E1023">
        <v>4489</v>
      </c>
      <c r="F1023">
        <v>21</v>
      </c>
      <c r="G1023" t="s">
        <v>36</v>
      </c>
      <c r="H1023" t="s">
        <v>3110</v>
      </c>
      <c r="I1023" t="s">
        <v>29</v>
      </c>
      <c r="J1023" t="s">
        <v>38</v>
      </c>
      <c r="K1023" t="s">
        <v>31</v>
      </c>
      <c r="L1023" t="s">
        <v>30</v>
      </c>
      <c r="M1023" t="s">
        <v>97</v>
      </c>
      <c r="N1023">
        <v>13</v>
      </c>
      <c r="O1023">
        <v>4</v>
      </c>
      <c r="P1023">
        <v>0</v>
      </c>
      <c r="Q1023">
        <v>1622.92118582791</v>
      </c>
      <c r="R1023">
        <v>7.592190889370933</v>
      </c>
      <c r="S1023">
        <v>213.7619047619048</v>
      </c>
      <c r="T1023">
        <v>0</v>
      </c>
      <c r="U1023">
        <v>0</v>
      </c>
      <c r="V1023">
        <v>0</v>
      </c>
      <c r="W1023">
        <v>8.4096079807363</v>
      </c>
      <c r="X1023">
        <v>0</v>
      </c>
    </row>
    <row r="1024" spans="1:24">
      <c r="A1024" t="s">
        <v>3111</v>
      </c>
      <c r="B1024" t="s">
        <v>3112</v>
      </c>
      <c r="C1024" t="s">
        <v>35</v>
      </c>
      <c r="D1024">
        <v>1.48</v>
      </c>
      <c r="E1024">
        <v>1485</v>
      </c>
      <c r="F1024">
        <v>14</v>
      </c>
      <c r="G1024" t="s">
        <v>47</v>
      </c>
      <c r="H1024" t="s">
        <v>3113</v>
      </c>
      <c r="I1024" t="s">
        <v>29</v>
      </c>
      <c r="J1024" t="s">
        <v>31</v>
      </c>
      <c r="K1024" t="s">
        <v>31</v>
      </c>
      <c r="L1024" t="s">
        <v>30</v>
      </c>
      <c r="M1024" t="s">
        <v>97</v>
      </c>
      <c r="N1024">
        <v>13</v>
      </c>
      <c r="O1024">
        <v>4</v>
      </c>
      <c r="P1024">
        <v>0</v>
      </c>
      <c r="Q1024">
        <v>1003.378378378378</v>
      </c>
      <c r="R1024">
        <v>9.45945945945946</v>
      </c>
      <c r="S1024">
        <v>106.0714285714286</v>
      </c>
      <c r="T1024">
        <v>0</v>
      </c>
      <c r="U1024">
        <v>0</v>
      </c>
      <c r="V1024">
        <v>0</v>
      </c>
      <c r="W1024">
        <v>7.303843225277705</v>
      </c>
      <c r="X1024">
        <v>0</v>
      </c>
    </row>
    <row r="1025" spans="1:24">
      <c r="A1025" t="s">
        <v>3114</v>
      </c>
      <c r="B1025" t="s">
        <v>3115</v>
      </c>
      <c r="C1025" t="s">
        <v>26</v>
      </c>
      <c r="D1025">
        <v>3.839</v>
      </c>
      <c r="E1025">
        <v>5308</v>
      </c>
      <c r="F1025">
        <v>17</v>
      </c>
      <c r="G1025" t="s">
        <v>27</v>
      </c>
      <c r="H1025" t="s">
        <v>3116</v>
      </c>
      <c r="I1025" t="s">
        <v>29</v>
      </c>
      <c r="J1025" t="s">
        <v>30</v>
      </c>
      <c r="K1025" t="s">
        <v>30</v>
      </c>
      <c r="L1025" t="s">
        <v>30</v>
      </c>
      <c r="M1025" t="s">
        <v>76</v>
      </c>
      <c r="N1025">
        <v>13</v>
      </c>
      <c r="O1025">
        <v>4</v>
      </c>
      <c r="P1025">
        <v>0</v>
      </c>
      <c r="Q1025">
        <v>1382.651732221933</v>
      </c>
      <c r="R1025">
        <v>4.428236519927064</v>
      </c>
      <c r="S1025">
        <v>312.2352941176471</v>
      </c>
      <c r="T1025">
        <v>0</v>
      </c>
      <c r="U1025">
        <v>0</v>
      </c>
      <c r="V1025">
        <v>0</v>
      </c>
      <c r="W1025">
        <v>8.577158772583671</v>
      </c>
      <c r="X1025">
        <v>0</v>
      </c>
    </row>
    <row r="1026" spans="1:24">
      <c r="A1026" t="s">
        <v>3117</v>
      </c>
      <c r="B1026" t="s">
        <v>3118</v>
      </c>
      <c r="C1026" t="s">
        <v>35</v>
      </c>
      <c r="D1026">
        <v>1.31</v>
      </c>
      <c r="E1026">
        <v>1466</v>
      </c>
      <c r="F1026">
        <v>20</v>
      </c>
      <c r="G1026" t="s">
        <v>27</v>
      </c>
      <c r="H1026" t="s">
        <v>3119</v>
      </c>
      <c r="I1026" t="s">
        <v>29</v>
      </c>
      <c r="J1026" t="s">
        <v>30</v>
      </c>
      <c r="K1026" t="s">
        <v>30</v>
      </c>
      <c r="L1026" t="s">
        <v>31</v>
      </c>
      <c r="M1026" t="s">
        <v>83</v>
      </c>
      <c r="N1026">
        <v>13</v>
      </c>
      <c r="O1026">
        <v>4</v>
      </c>
      <c r="P1026">
        <v>0</v>
      </c>
      <c r="Q1026">
        <v>1119.083969465649</v>
      </c>
      <c r="R1026">
        <v>15.26717557251908</v>
      </c>
      <c r="S1026">
        <v>73.3</v>
      </c>
      <c r="T1026">
        <v>0</v>
      </c>
      <c r="U1026">
        <v>0</v>
      </c>
      <c r="V1026">
        <v>0</v>
      </c>
      <c r="W1026">
        <v>7.290974778142981</v>
      </c>
      <c r="X1026">
        <v>0</v>
      </c>
    </row>
    <row r="1027" spans="1:24">
      <c r="A1027" t="s">
        <v>3120</v>
      </c>
      <c r="B1027" t="s">
        <v>3121</v>
      </c>
      <c r="C1027" t="s">
        <v>35</v>
      </c>
      <c r="D1027">
        <v>2.718</v>
      </c>
      <c r="E1027">
        <v>44335</v>
      </c>
      <c r="F1027">
        <v>139</v>
      </c>
      <c r="G1027" t="s">
        <v>36</v>
      </c>
      <c r="H1027" t="s">
        <v>3122</v>
      </c>
      <c r="I1027" t="s">
        <v>49</v>
      </c>
      <c r="J1027" t="s">
        <v>38</v>
      </c>
      <c r="K1027" t="s">
        <v>30</v>
      </c>
      <c r="L1027" t="s">
        <v>30</v>
      </c>
      <c r="M1027" t="s">
        <v>44</v>
      </c>
      <c r="N1027">
        <v>13</v>
      </c>
      <c r="O1027">
        <v>4</v>
      </c>
      <c r="P1027">
        <v>0</v>
      </c>
      <c r="Q1027">
        <v>16311.62619573216</v>
      </c>
      <c r="R1027">
        <v>51.14054451802797</v>
      </c>
      <c r="S1027">
        <v>318.9568345323741</v>
      </c>
      <c r="T1027">
        <v>0</v>
      </c>
      <c r="U1027">
        <v>0</v>
      </c>
      <c r="V1027">
        <v>1</v>
      </c>
      <c r="W1027">
        <v>10.69955226710276</v>
      </c>
      <c r="X1027">
        <v>1</v>
      </c>
    </row>
    <row r="1028" spans="1:24">
      <c r="A1028" t="s">
        <v>3123</v>
      </c>
      <c r="B1028" t="s">
        <v>3124</v>
      </c>
      <c r="C1028" t="s">
        <v>26</v>
      </c>
      <c r="D1028">
        <v>6.049</v>
      </c>
      <c r="E1028">
        <v>1064</v>
      </c>
      <c r="F1028">
        <v>13</v>
      </c>
      <c r="G1028" t="s">
        <v>62</v>
      </c>
      <c r="H1028" t="s">
        <v>3125</v>
      </c>
      <c r="I1028" t="s">
        <v>29</v>
      </c>
      <c r="J1028" t="s">
        <v>30</v>
      </c>
      <c r="K1028" t="s">
        <v>30</v>
      </c>
      <c r="L1028" t="s">
        <v>30</v>
      </c>
      <c r="M1028" t="s">
        <v>97</v>
      </c>
      <c r="N1028">
        <v>13</v>
      </c>
      <c r="O1028">
        <v>4</v>
      </c>
      <c r="P1028">
        <v>0</v>
      </c>
      <c r="Q1028">
        <v>175.8968424532981</v>
      </c>
      <c r="R1028">
        <v>2.149115556290296</v>
      </c>
      <c r="S1028">
        <v>81.84615384615384</v>
      </c>
      <c r="T1028">
        <v>0</v>
      </c>
      <c r="U1028">
        <v>0</v>
      </c>
      <c r="V1028">
        <v>0</v>
      </c>
      <c r="W1028">
        <v>6.970730078143525</v>
      </c>
      <c r="X1028">
        <v>0</v>
      </c>
    </row>
    <row r="1029" spans="1:24">
      <c r="A1029" t="s">
        <v>3126</v>
      </c>
      <c r="B1029" t="s">
        <v>3127</v>
      </c>
      <c r="C1029" t="s">
        <v>35</v>
      </c>
      <c r="D1029">
        <v>2.079</v>
      </c>
      <c r="E1029">
        <v>3787</v>
      </c>
      <c r="F1029">
        <v>17</v>
      </c>
      <c r="G1029" t="s">
        <v>36</v>
      </c>
      <c r="H1029" t="s">
        <v>3128</v>
      </c>
      <c r="I1029" t="s">
        <v>29</v>
      </c>
      <c r="J1029" t="s">
        <v>38</v>
      </c>
      <c r="K1029" t="s">
        <v>30</v>
      </c>
      <c r="L1029" t="s">
        <v>31</v>
      </c>
      <c r="M1029" t="s">
        <v>97</v>
      </c>
      <c r="N1029">
        <v>13</v>
      </c>
      <c r="O1029">
        <v>4</v>
      </c>
      <c r="P1029">
        <v>0</v>
      </c>
      <c r="Q1029">
        <v>1821.548821548821</v>
      </c>
      <c r="R1029">
        <v>8.177008177008176</v>
      </c>
      <c r="S1029">
        <v>222.7647058823529</v>
      </c>
      <c r="T1029">
        <v>0</v>
      </c>
      <c r="U1029">
        <v>0</v>
      </c>
      <c r="V1029">
        <v>0</v>
      </c>
      <c r="W1029">
        <v>8.239593454305968</v>
      </c>
      <c r="X1029">
        <v>0</v>
      </c>
    </row>
    <row r="1030" spans="1:24">
      <c r="A1030" t="s">
        <v>3129</v>
      </c>
      <c r="B1030" t="s">
        <v>3130</v>
      </c>
      <c r="C1030" t="s">
        <v>35</v>
      </c>
      <c r="D1030">
        <v>0.026</v>
      </c>
      <c r="E1030">
        <v>5912</v>
      </c>
      <c r="F1030">
        <v>2</v>
      </c>
      <c r="G1030" t="s">
        <v>62</v>
      </c>
      <c r="H1030" t="s">
        <v>3131</v>
      </c>
      <c r="I1030" t="s">
        <v>90</v>
      </c>
      <c r="J1030" t="s">
        <v>30</v>
      </c>
      <c r="K1030" t="s">
        <v>30</v>
      </c>
      <c r="L1030" t="s">
        <v>31</v>
      </c>
      <c r="M1030" t="s">
        <v>44</v>
      </c>
      <c r="N1030">
        <v>13</v>
      </c>
      <c r="O1030">
        <v>4</v>
      </c>
      <c r="P1030">
        <v>0</v>
      </c>
      <c r="Q1030">
        <v>227384.6153846154</v>
      </c>
      <c r="R1030">
        <v>76.92307692307692</v>
      </c>
      <c r="S1030">
        <v>2956</v>
      </c>
      <c r="T1030">
        <v>0</v>
      </c>
      <c r="U1030">
        <v>0</v>
      </c>
      <c r="V1030">
        <v>0</v>
      </c>
      <c r="W1030">
        <v>8.684908595820829</v>
      </c>
      <c r="X1030">
        <v>1</v>
      </c>
    </row>
    <row r="1031" spans="1:24">
      <c r="A1031" t="s">
        <v>3132</v>
      </c>
      <c r="B1031" t="s">
        <v>3133</v>
      </c>
      <c r="C1031" t="s">
        <v>52</v>
      </c>
      <c r="D1031">
        <v>2.852</v>
      </c>
      <c r="E1031">
        <v>3765</v>
      </c>
      <c r="F1031">
        <v>17</v>
      </c>
      <c r="G1031" t="s">
        <v>62</v>
      </c>
      <c r="H1031" t="s">
        <v>3134</v>
      </c>
      <c r="I1031" t="s">
        <v>29</v>
      </c>
      <c r="J1031" t="s">
        <v>30</v>
      </c>
      <c r="K1031" t="s">
        <v>30</v>
      </c>
      <c r="L1031" t="s">
        <v>30</v>
      </c>
      <c r="M1031" t="s">
        <v>39</v>
      </c>
      <c r="N1031">
        <v>13</v>
      </c>
      <c r="O1031">
        <v>4</v>
      </c>
      <c r="P1031">
        <v>0</v>
      </c>
      <c r="Q1031">
        <v>1320.126227208976</v>
      </c>
      <c r="R1031">
        <v>5.960729312762973</v>
      </c>
      <c r="S1031">
        <v>221.4705882352941</v>
      </c>
      <c r="T1031">
        <v>0</v>
      </c>
      <c r="U1031">
        <v>0</v>
      </c>
      <c r="V1031">
        <v>0</v>
      </c>
      <c r="W1031">
        <v>8.233768709217097</v>
      </c>
      <c r="X1031">
        <v>0</v>
      </c>
    </row>
    <row r="1032" spans="1:24">
      <c r="A1032" t="s">
        <v>3135</v>
      </c>
      <c r="B1032" t="s">
        <v>3136</v>
      </c>
      <c r="C1032" t="s">
        <v>130</v>
      </c>
      <c r="D1032">
        <v>15.16</v>
      </c>
      <c r="E1032">
        <v>87121</v>
      </c>
      <c r="F1032">
        <v>137</v>
      </c>
      <c r="G1032" t="s">
        <v>27</v>
      </c>
      <c r="H1032" t="s">
        <v>3137</v>
      </c>
      <c r="I1032" t="s">
        <v>49</v>
      </c>
      <c r="J1032" t="s">
        <v>30</v>
      </c>
      <c r="K1032" t="s">
        <v>30</v>
      </c>
      <c r="L1032" t="s">
        <v>30</v>
      </c>
      <c r="M1032" t="s">
        <v>44</v>
      </c>
      <c r="N1032">
        <v>13</v>
      </c>
      <c r="O1032">
        <v>4</v>
      </c>
      <c r="P1032">
        <v>0</v>
      </c>
      <c r="Q1032">
        <v>5746.767810026385</v>
      </c>
      <c r="R1032">
        <v>9.036939313984169</v>
      </c>
      <c r="S1032">
        <v>635.9197080291971</v>
      </c>
      <c r="T1032">
        <v>0</v>
      </c>
      <c r="U1032">
        <v>0</v>
      </c>
      <c r="V1032">
        <v>1</v>
      </c>
      <c r="W1032">
        <v>11.37506471418448</v>
      </c>
      <c r="X1032">
        <v>1</v>
      </c>
    </row>
    <row r="1033" spans="1:24">
      <c r="A1033" t="s">
        <v>3138</v>
      </c>
      <c r="B1033" t="s">
        <v>3139</v>
      </c>
      <c r="C1033" t="s">
        <v>26</v>
      </c>
      <c r="D1033">
        <v>4.419</v>
      </c>
      <c r="E1033">
        <v>894</v>
      </c>
      <c r="F1033">
        <v>13</v>
      </c>
      <c r="G1033" t="s">
        <v>62</v>
      </c>
      <c r="H1033" t="s">
        <v>3140</v>
      </c>
      <c r="I1033" t="s">
        <v>29</v>
      </c>
      <c r="J1033" t="s">
        <v>30</v>
      </c>
      <c r="K1033" t="s">
        <v>31</v>
      </c>
      <c r="L1033" t="s">
        <v>30</v>
      </c>
      <c r="M1033" t="s">
        <v>97</v>
      </c>
      <c r="N1033">
        <v>13</v>
      </c>
      <c r="O1033">
        <v>4</v>
      </c>
      <c r="P1033">
        <v>0</v>
      </c>
      <c r="Q1033">
        <v>202.3082145281738</v>
      </c>
      <c r="R1033">
        <v>2.9418420457117</v>
      </c>
      <c r="S1033">
        <v>68.76923076923077</v>
      </c>
      <c r="T1033">
        <v>0</v>
      </c>
      <c r="U1033">
        <v>0</v>
      </c>
      <c r="V1033">
        <v>0</v>
      </c>
      <c r="W1033">
        <v>6.796823718274855</v>
      </c>
      <c r="X1033">
        <v>0</v>
      </c>
    </row>
    <row r="1034" spans="1:24">
      <c r="A1034" t="s">
        <v>3141</v>
      </c>
      <c r="B1034" t="s">
        <v>3142</v>
      </c>
      <c r="C1034" t="s">
        <v>26</v>
      </c>
      <c r="D1034">
        <v>2.141</v>
      </c>
      <c r="E1034">
        <v>2190</v>
      </c>
      <c r="F1034">
        <v>19</v>
      </c>
      <c r="G1034" t="s">
        <v>27</v>
      </c>
      <c r="H1034" t="s">
        <v>3143</v>
      </c>
      <c r="I1034" t="s">
        <v>29</v>
      </c>
      <c r="J1034" t="s">
        <v>30</v>
      </c>
      <c r="K1034" t="s">
        <v>31</v>
      </c>
      <c r="L1034" t="s">
        <v>31</v>
      </c>
      <c r="M1034" t="s">
        <v>97</v>
      </c>
      <c r="N1034">
        <v>14</v>
      </c>
      <c r="O1034">
        <v>4</v>
      </c>
      <c r="P1034">
        <v>0</v>
      </c>
      <c r="Q1034">
        <v>1022.88650163475</v>
      </c>
      <c r="R1034">
        <v>8.87435777673984</v>
      </c>
      <c r="S1034">
        <v>115.2631578947368</v>
      </c>
      <c r="T1034">
        <v>0</v>
      </c>
      <c r="U1034">
        <v>0</v>
      </c>
      <c r="V1034">
        <v>0</v>
      </c>
      <c r="W1034">
        <v>7.692113339595466</v>
      </c>
      <c r="X1034">
        <v>0</v>
      </c>
    </row>
    <row r="1035" spans="1:24">
      <c r="A1035" t="s">
        <v>3144</v>
      </c>
      <c r="B1035" t="s">
        <v>3145</v>
      </c>
      <c r="C1035" t="s">
        <v>35</v>
      </c>
      <c r="D1035">
        <v>0.926</v>
      </c>
      <c r="E1035">
        <v>4307</v>
      </c>
      <c r="F1035">
        <v>20</v>
      </c>
      <c r="G1035" t="s">
        <v>36</v>
      </c>
      <c r="H1035" t="s">
        <v>3146</v>
      </c>
      <c r="I1035" t="s">
        <v>43</v>
      </c>
      <c r="J1035" t="s">
        <v>38</v>
      </c>
      <c r="K1035" t="s">
        <v>30</v>
      </c>
      <c r="L1035" t="s">
        <v>31</v>
      </c>
      <c r="M1035" t="s">
        <v>83</v>
      </c>
      <c r="N1035">
        <v>14</v>
      </c>
      <c r="O1035">
        <v>4</v>
      </c>
      <c r="P1035">
        <v>0</v>
      </c>
      <c r="Q1035">
        <v>4651.187904967603</v>
      </c>
      <c r="R1035">
        <v>21.59827213822894</v>
      </c>
      <c r="S1035">
        <v>215.35</v>
      </c>
      <c r="T1035">
        <v>0</v>
      </c>
      <c r="U1035">
        <v>0</v>
      </c>
      <c r="V1035">
        <v>0</v>
      </c>
      <c r="W1035">
        <v>8.368229038276279</v>
      </c>
      <c r="X1035">
        <v>1</v>
      </c>
    </row>
    <row r="1036" spans="1:24">
      <c r="A1036" t="s">
        <v>3147</v>
      </c>
      <c r="B1036" t="s">
        <v>3148</v>
      </c>
      <c r="C1036" t="s">
        <v>26</v>
      </c>
      <c r="D1036">
        <v>12.483</v>
      </c>
      <c r="E1036">
        <v>1341</v>
      </c>
      <c r="F1036">
        <v>21</v>
      </c>
      <c r="G1036" t="s">
        <v>27</v>
      </c>
      <c r="H1036" t="s">
        <v>3149</v>
      </c>
      <c r="I1036" t="s">
        <v>29</v>
      </c>
      <c r="J1036" t="s">
        <v>30</v>
      </c>
      <c r="K1036" t="s">
        <v>31</v>
      </c>
      <c r="L1036" t="s">
        <v>31</v>
      </c>
      <c r="M1036" t="s">
        <v>97</v>
      </c>
      <c r="N1036">
        <v>14</v>
      </c>
      <c r="O1036">
        <v>4</v>
      </c>
      <c r="P1036">
        <v>0</v>
      </c>
      <c r="Q1036">
        <v>107.4260994953136</v>
      </c>
      <c r="R1036">
        <v>1.682287911559721</v>
      </c>
      <c r="S1036">
        <v>63.85714285714285</v>
      </c>
      <c r="T1036">
        <v>0</v>
      </c>
      <c r="U1036">
        <v>0</v>
      </c>
      <c r="V1036">
        <v>0</v>
      </c>
      <c r="W1036">
        <v>7.201916317531627</v>
      </c>
      <c r="X1036">
        <v>0</v>
      </c>
    </row>
    <row r="1037" spans="1:24">
      <c r="A1037" t="s">
        <v>3150</v>
      </c>
      <c r="B1037" t="s">
        <v>3151</v>
      </c>
      <c r="C1037" t="s">
        <v>35</v>
      </c>
      <c r="D1037">
        <v>4.321</v>
      </c>
      <c r="E1037">
        <v>5247</v>
      </c>
      <c r="F1037">
        <v>23</v>
      </c>
      <c r="G1037" t="s">
        <v>47</v>
      </c>
      <c r="H1037" t="s">
        <v>3152</v>
      </c>
      <c r="I1037" t="s">
        <v>29</v>
      </c>
      <c r="J1037" t="s">
        <v>31</v>
      </c>
      <c r="K1037" t="s">
        <v>30</v>
      </c>
      <c r="L1037" t="s">
        <v>30</v>
      </c>
      <c r="M1037" t="s">
        <v>83</v>
      </c>
      <c r="N1037">
        <v>14</v>
      </c>
      <c r="O1037">
        <v>4</v>
      </c>
      <c r="P1037">
        <v>0</v>
      </c>
      <c r="Q1037">
        <v>1214.302244850729</v>
      </c>
      <c r="R1037">
        <v>5.32284193473733</v>
      </c>
      <c r="S1037">
        <v>228.1304347826087</v>
      </c>
      <c r="T1037">
        <v>0</v>
      </c>
      <c r="U1037">
        <v>0</v>
      </c>
      <c r="V1037">
        <v>0</v>
      </c>
      <c r="W1037">
        <v>8.565602330623925</v>
      </c>
      <c r="X1037">
        <v>0</v>
      </c>
    </row>
    <row r="1038" spans="1:24">
      <c r="A1038" t="s">
        <v>3153</v>
      </c>
      <c r="B1038" t="s">
        <v>3154</v>
      </c>
      <c r="C1038" t="s">
        <v>35</v>
      </c>
      <c r="D1038">
        <v>2.139</v>
      </c>
      <c r="E1038">
        <v>3758</v>
      </c>
      <c r="F1038">
        <v>17</v>
      </c>
      <c r="G1038" t="s">
        <v>47</v>
      </c>
      <c r="H1038" t="s">
        <v>3155</v>
      </c>
      <c r="I1038" t="s">
        <v>29</v>
      </c>
      <c r="J1038" t="s">
        <v>31</v>
      </c>
      <c r="K1038" t="s">
        <v>30</v>
      </c>
      <c r="L1038" t="s">
        <v>31</v>
      </c>
      <c r="M1038" t="s">
        <v>83</v>
      </c>
      <c r="N1038">
        <v>14</v>
      </c>
      <c r="O1038">
        <v>4</v>
      </c>
      <c r="P1038">
        <v>0</v>
      </c>
      <c r="Q1038">
        <v>1756.89574567555</v>
      </c>
      <c r="R1038">
        <v>7.947639083683965</v>
      </c>
      <c r="S1038">
        <v>221.0588235294118</v>
      </c>
      <c r="T1038">
        <v>0</v>
      </c>
      <c r="U1038">
        <v>0</v>
      </c>
      <c r="V1038">
        <v>0</v>
      </c>
      <c r="W1038">
        <v>8.231908243564177</v>
      </c>
      <c r="X1038">
        <v>0</v>
      </c>
    </row>
    <row r="1039" spans="1:24">
      <c r="A1039" t="s">
        <v>3156</v>
      </c>
      <c r="B1039" t="s">
        <v>3157</v>
      </c>
      <c r="C1039" t="s">
        <v>26</v>
      </c>
      <c r="D1039">
        <v>0.2</v>
      </c>
      <c r="E1039">
        <v>1414</v>
      </c>
      <c r="F1039">
        <v>20</v>
      </c>
      <c r="G1039" t="s">
        <v>62</v>
      </c>
      <c r="H1039" t="s">
        <v>3158</v>
      </c>
      <c r="I1039" t="s">
        <v>29</v>
      </c>
      <c r="J1039" t="s">
        <v>30</v>
      </c>
      <c r="K1039" t="s">
        <v>30</v>
      </c>
      <c r="L1039" t="s">
        <v>31</v>
      </c>
      <c r="M1039" t="s">
        <v>97</v>
      </c>
      <c r="N1039">
        <v>14</v>
      </c>
      <c r="O1039">
        <v>4</v>
      </c>
      <c r="P1039">
        <v>0</v>
      </c>
      <c r="Q1039">
        <v>7070</v>
      </c>
      <c r="R1039">
        <v>100</v>
      </c>
      <c r="S1039">
        <v>70.7</v>
      </c>
      <c r="T1039">
        <v>0</v>
      </c>
      <c r="U1039">
        <v>0</v>
      </c>
      <c r="V1039">
        <v>0</v>
      </c>
      <c r="W1039">
        <v>7.254884810077338</v>
      </c>
      <c r="X1039">
        <v>0</v>
      </c>
    </row>
    <row r="1040" spans="1:24">
      <c r="A1040" t="s">
        <v>3159</v>
      </c>
      <c r="B1040" t="s">
        <v>3160</v>
      </c>
      <c r="C1040" t="s">
        <v>35</v>
      </c>
      <c r="D1040">
        <v>18.098</v>
      </c>
      <c r="E1040">
        <v>2594</v>
      </c>
      <c r="F1040">
        <v>13</v>
      </c>
      <c r="G1040" t="s">
        <v>62</v>
      </c>
      <c r="H1040" t="s">
        <v>3161</v>
      </c>
      <c r="I1040" t="s">
        <v>29</v>
      </c>
      <c r="J1040" t="s">
        <v>30</v>
      </c>
      <c r="K1040" t="s">
        <v>30</v>
      </c>
      <c r="L1040" t="s">
        <v>30</v>
      </c>
      <c r="M1040" t="s">
        <v>39</v>
      </c>
      <c r="N1040">
        <v>14</v>
      </c>
      <c r="O1040">
        <v>4</v>
      </c>
      <c r="P1040">
        <v>0</v>
      </c>
      <c r="Q1040">
        <v>143.3307547795337</v>
      </c>
      <c r="R1040">
        <v>0.7183114156260361</v>
      </c>
      <c r="S1040">
        <v>199.5384615384615</v>
      </c>
      <c r="T1040">
        <v>0</v>
      </c>
      <c r="U1040">
        <v>0</v>
      </c>
      <c r="V1040">
        <v>0</v>
      </c>
      <c r="W1040">
        <v>7.861341795599989</v>
      </c>
      <c r="X1040">
        <v>0</v>
      </c>
    </row>
    <row r="1041" spans="1:24">
      <c r="A1041" t="s">
        <v>3162</v>
      </c>
      <c r="B1041" t="s">
        <v>3163</v>
      </c>
      <c r="C1041" t="s">
        <v>26</v>
      </c>
      <c r="D1041">
        <v>8.702999999999999</v>
      </c>
      <c r="E1041">
        <v>1797</v>
      </c>
      <c r="F1041">
        <v>17</v>
      </c>
      <c r="G1041" t="s">
        <v>36</v>
      </c>
      <c r="H1041" t="s">
        <v>3164</v>
      </c>
      <c r="I1041" t="s">
        <v>29</v>
      </c>
      <c r="J1041" t="s">
        <v>38</v>
      </c>
      <c r="K1041" t="s">
        <v>31</v>
      </c>
      <c r="L1041" t="s">
        <v>30</v>
      </c>
      <c r="M1041" t="s">
        <v>97</v>
      </c>
      <c r="N1041">
        <v>14</v>
      </c>
      <c r="O1041">
        <v>4</v>
      </c>
      <c r="P1041">
        <v>0</v>
      </c>
      <c r="Q1041">
        <v>206.4805239572561</v>
      </c>
      <c r="R1041">
        <v>1.95334941974032</v>
      </c>
      <c r="S1041">
        <v>105.7058823529412</v>
      </c>
      <c r="T1041">
        <v>0</v>
      </c>
      <c r="U1041">
        <v>0</v>
      </c>
      <c r="V1041">
        <v>0</v>
      </c>
      <c r="W1041">
        <v>7.494430215031565</v>
      </c>
      <c r="X1041">
        <v>0</v>
      </c>
    </row>
    <row r="1042" spans="1:24">
      <c r="A1042" t="s">
        <v>3165</v>
      </c>
      <c r="B1042" t="s">
        <v>3166</v>
      </c>
      <c r="C1042" t="s">
        <v>26</v>
      </c>
      <c r="D1042">
        <v>1.208</v>
      </c>
      <c r="E1042">
        <v>3290</v>
      </c>
      <c r="F1042">
        <v>21</v>
      </c>
      <c r="G1042" t="s">
        <v>47</v>
      </c>
      <c r="H1042" t="s">
        <v>3167</v>
      </c>
      <c r="I1042" t="s">
        <v>29</v>
      </c>
      <c r="J1042" t="s">
        <v>31</v>
      </c>
      <c r="K1042" t="s">
        <v>31</v>
      </c>
      <c r="L1042" t="s">
        <v>38</v>
      </c>
      <c r="M1042" t="s">
        <v>44</v>
      </c>
      <c r="N1042">
        <v>14</v>
      </c>
      <c r="O1042">
        <v>4</v>
      </c>
      <c r="P1042">
        <v>0</v>
      </c>
      <c r="Q1042">
        <v>2723.509933774835</v>
      </c>
      <c r="R1042">
        <v>17.3841059602649</v>
      </c>
      <c r="S1042">
        <v>156.6666666666667</v>
      </c>
      <c r="T1042">
        <v>0</v>
      </c>
      <c r="U1042">
        <v>0</v>
      </c>
      <c r="V1042">
        <v>0</v>
      </c>
      <c r="W1042">
        <v>8.098946748943339</v>
      </c>
      <c r="X1042">
        <v>0</v>
      </c>
    </row>
    <row r="1043" spans="1:24">
      <c r="A1043" t="s">
        <v>3168</v>
      </c>
      <c r="B1043" t="s">
        <v>3169</v>
      </c>
      <c r="C1043" t="s">
        <v>52</v>
      </c>
      <c r="D1043">
        <v>3.111</v>
      </c>
      <c r="E1043">
        <v>787</v>
      </c>
      <c r="F1043">
        <v>14</v>
      </c>
      <c r="G1043" t="s">
        <v>62</v>
      </c>
      <c r="H1043" t="s">
        <v>3170</v>
      </c>
      <c r="I1043" t="s">
        <v>29</v>
      </c>
      <c r="J1043" t="s">
        <v>30</v>
      </c>
      <c r="K1043" t="s">
        <v>31</v>
      </c>
      <c r="L1043" t="s">
        <v>31</v>
      </c>
      <c r="M1043" t="s">
        <v>76</v>
      </c>
      <c r="N1043">
        <v>14</v>
      </c>
      <c r="O1043">
        <v>4</v>
      </c>
      <c r="P1043">
        <v>0</v>
      </c>
      <c r="Q1043">
        <v>252.9733204757313</v>
      </c>
      <c r="R1043">
        <v>4.500160720025715</v>
      </c>
      <c r="S1043">
        <v>56.21428571428572</v>
      </c>
      <c r="T1043">
        <v>0</v>
      </c>
      <c r="U1043">
        <v>0</v>
      </c>
      <c r="V1043">
        <v>0</v>
      </c>
      <c r="W1043">
        <v>6.669498089857879</v>
      </c>
      <c r="X1043">
        <v>0</v>
      </c>
    </row>
    <row r="1044" spans="1:24">
      <c r="A1044" t="s">
        <v>3171</v>
      </c>
      <c r="B1044" t="s">
        <v>3172</v>
      </c>
      <c r="C1044" t="s">
        <v>52</v>
      </c>
      <c r="D1044">
        <v>1.452</v>
      </c>
      <c r="E1044">
        <v>1052</v>
      </c>
      <c r="F1044">
        <v>21</v>
      </c>
      <c r="G1044" t="s">
        <v>62</v>
      </c>
      <c r="H1044" t="s">
        <v>3173</v>
      </c>
      <c r="I1044" t="s">
        <v>29</v>
      </c>
      <c r="J1044" t="s">
        <v>30</v>
      </c>
      <c r="K1044" t="s">
        <v>31</v>
      </c>
      <c r="L1044" t="s">
        <v>31</v>
      </c>
      <c r="M1044" t="s">
        <v>97</v>
      </c>
      <c r="N1044">
        <v>14</v>
      </c>
      <c r="O1044">
        <v>4</v>
      </c>
      <c r="P1044">
        <v>0</v>
      </c>
      <c r="Q1044">
        <v>724.5179063360882</v>
      </c>
      <c r="R1044">
        <v>14.46280991735537</v>
      </c>
      <c r="S1044">
        <v>50.09523809523809</v>
      </c>
      <c r="T1044">
        <v>0</v>
      </c>
      <c r="U1044">
        <v>0</v>
      </c>
      <c r="V1044">
        <v>0</v>
      </c>
      <c r="W1044">
        <v>6.959398512133975</v>
      </c>
      <c r="X1044">
        <v>0</v>
      </c>
    </row>
    <row r="1045" spans="1:24">
      <c r="A1045" t="s">
        <v>3174</v>
      </c>
      <c r="B1045" t="s">
        <v>3175</v>
      </c>
      <c r="C1045" t="s">
        <v>35</v>
      </c>
      <c r="D1045">
        <v>1.494</v>
      </c>
      <c r="E1045">
        <v>992</v>
      </c>
      <c r="F1045">
        <v>14</v>
      </c>
      <c r="G1045" t="s">
        <v>47</v>
      </c>
      <c r="H1045" t="s">
        <v>3176</v>
      </c>
      <c r="I1045" t="s">
        <v>29</v>
      </c>
      <c r="J1045" t="s">
        <v>31</v>
      </c>
      <c r="K1045" t="s">
        <v>31</v>
      </c>
      <c r="L1045" t="s">
        <v>31</v>
      </c>
      <c r="M1045" t="s">
        <v>97</v>
      </c>
      <c r="N1045">
        <v>14</v>
      </c>
      <c r="O1045">
        <v>4</v>
      </c>
      <c r="P1045">
        <v>0</v>
      </c>
      <c r="Q1045">
        <v>663.9892904953145</v>
      </c>
      <c r="R1045">
        <v>9.370816599732262</v>
      </c>
      <c r="S1045">
        <v>70.85714285714286</v>
      </c>
      <c r="T1045">
        <v>0</v>
      </c>
      <c r="U1045">
        <v>0</v>
      </c>
      <c r="V1045">
        <v>0</v>
      </c>
      <c r="W1045">
        <v>6.900730664045173</v>
      </c>
      <c r="X1045">
        <v>0</v>
      </c>
    </row>
    <row r="1046" spans="1:24">
      <c r="A1046" t="s">
        <v>3177</v>
      </c>
      <c r="B1046" t="s">
        <v>3178</v>
      </c>
      <c r="C1046" t="s">
        <v>26</v>
      </c>
      <c r="D1046">
        <v>4.181</v>
      </c>
      <c r="E1046">
        <v>1044</v>
      </c>
      <c r="F1046">
        <v>16</v>
      </c>
      <c r="G1046" t="s">
        <v>36</v>
      </c>
      <c r="H1046" t="s">
        <v>3179</v>
      </c>
      <c r="I1046" t="s">
        <v>29</v>
      </c>
      <c r="J1046" t="s">
        <v>38</v>
      </c>
      <c r="K1046" t="s">
        <v>30</v>
      </c>
      <c r="L1046" t="s">
        <v>31</v>
      </c>
      <c r="M1046" t="s">
        <v>44</v>
      </c>
      <c r="N1046">
        <v>15</v>
      </c>
      <c r="O1046">
        <v>4</v>
      </c>
      <c r="P1046">
        <v>0</v>
      </c>
      <c r="Q1046">
        <v>249.7010284620904</v>
      </c>
      <c r="R1046">
        <v>3.826835685242765</v>
      </c>
      <c r="S1046">
        <v>65.25</v>
      </c>
      <c r="T1046">
        <v>0</v>
      </c>
      <c r="U1046">
        <v>0</v>
      </c>
      <c r="V1046">
        <v>0</v>
      </c>
      <c r="W1046">
        <v>6.951772164398911</v>
      </c>
      <c r="X1046">
        <v>0</v>
      </c>
    </row>
    <row r="1047" spans="1:24">
      <c r="A1047" t="s">
        <v>3180</v>
      </c>
      <c r="B1047" t="s">
        <v>3181</v>
      </c>
      <c r="C1047" t="s">
        <v>35</v>
      </c>
      <c r="D1047">
        <v>3.849</v>
      </c>
      <c r="E1047">
        <v>101669</v>
      </c>
      <c r="F1047">
        <v>104</v>
      </c>
      <c r="G1047" t="s">
        <v>27</v>
      </c>
      <c r="H1047" t="s">
        <v>3182</v>
      </c>
      <c r="I1047" t="s">
        <v>49</v>
      </c>
      <c r="J1047" t="s">
        <v>30</v>
      </c>
      <c r="K1047" t="s">
        <v>30</v>
      </c>
      <c r="L1047" t="s">
        <v>38</v>
      </c>
      <c r="M1047" t="s">
        <v>76</v>
      </c>
      <c r="N1047">
        <v>15</v>
      </c>
      <c r="O1047">
        <v>4</v>
      </c>
      <c r="P1047">
        <v>0</v>
      </c>
      <c r="Q1047">
        <v>26414.3933489218</v>
      </c>
      <c r="R1047">
        <v>27.02000519615484</v>
      </c>
      <c r="S1047">
        <v>977.5865384615385</v>
      </c>
      <c r="T1047">
        <v>0</v>
      </c>
      <c r="U1047">
        <v>0</v>
      </c>
      <c r="V1047">
        <v>1</v>
      </c>
      <c r="W1047">
        <v>11.52948755326921</v>
      </c>
      <c r="X1047">
        <v>1</v>
      </c>
    </row>
    <row r="1048" spans="1:24">
      <c r="A1048" t="s">
        <v>3183</v>
      </c>
      <c r="B1048" t="s">
        <v>3184</v>
      </c>
      <c r="C1048" t="s">
        <v>26</v>
      </c>
      <c r="D1048">
        <v>1.728</v>
      </c>
      <c r="E1048">
        <v>8243</v>
      </c>
      <c r="F1048">
        <v>19</v>
      </c>
      <c r="G1048" t="s">
        <v>27</v>
      </c>
      <c r="H1048" t="s">
        <v>3185</v>
      </c>
      <c r="I1048" t="s">
        <v>29</v>
      </c>
      <c r="J1048" t="s">
        <v>30</v>
      </c>
      <c r="K1048" t="s">
        <v>31</v>
      </c>
      <c r="L1048" t="s">
        <v>31</v>
      </c>
      <c r="M1048" t="s">
        <v>32</v>
      </c>
      <c r="N1048">
        <v>15</v>
      </c>
      <c r="O1048">
        <v>4</v>
      </c>
      <c r="P1048">
        <v>0</v>
      </c>
      <c r="Q1048">
        <v>4770.25462962963</v>
      </c>
      <c r="R1048">
        <v>10.99537037037037</v>
      </c>
      <c r="S1048">
        <v>433.8421052631579</v>
      </c>
      <c r="T1048">
        <v>0</v>
      </c>
      <c r="U1048">
        <v>0</v>
      </c>
      <c r="V1048">
        <v>0</v>
      </c>
      <c r="W1048">
        <v>9.01724094201035</v>
      </c>
      <c r="X1048">
        <v>0</v>
      </c>
    </row>
    <row r="1049" spans="1:24">
      <c r="A1049" t="s">
        <v>3186</v>
      </c>
      <c r="B1049" t="s">
        <v>3187</v>
      </c>
      <c r="C1049" t="s">
        <v>130</v>
      </c>
      <c r="D1049">
        <v>7.488</v>
      </c>
      <c r="E1049">
        <v>1185</v>
      </c>
      <c r="F1049">
        <v>17</v>
      </c>
      <c r="G1049" t="s">
        <v>62</v>
      </c>
      <c r="H1049" t="s">
        <v>3188</v>
      </c>
      <c r="I1049" t="s">
        <v>29</v>
      </c>
      <c r="J1049" t="s">
        <v>30</v>
      </c>
      <c r="K1049" t="s">
        <v>30</v>
      </c>
      <c r="L1049" t="s">
        <v>31</v>
      </c>
      <c r="M1049" t="s">
        <v>44</v>
      </c>
      <c r="N1049">
        <v>15</v>
      </c>
      <c r="O1049">
        <v>4</v>
      </c>
      <c r="P1049">
        <v>0</v>
      </c>
      <c r="Q1049">
        <v>158.2532051282051</v>
      </c>
      <c r="R1049">
        <v>2.270299145299145</v>
      </c>
      <c r="S1049">
        <v>69.70588235294117</v>
      </c>
      <c r="T1049">
        <v>0</v>
      </c>
      <c r="U1049">
        <v>0</v>
      </c>
      <c r="V1049">
        <v>0</v>
      </c>
      <c r="W1049">
        <v>7.078341579557671</v>
      </c>
      <c r="X1049">
        <v>0</v>
      </c>
    </row>
    <row r="1050" spans="1:24">
      <c r="A1050" t="s">
        <v>3189</v>
      </c>
      <c r="B1050" t="s">
        <v>3190</v>
      </c>
      <c r="C1050" t="s">
        <v>35</v>
      </c>
      <c r="D1050">
        <v>5.436</v>
      </c>
      <c r="E1050">
        <v>1809</v>
      </c>
      <c r="F1050">
        <v>16</v>
      </c>
      <c r="G1050" t="s">
        <v>47</v>
      </c>
      <c r="H1050" t="s">
        <v>3191</v>
      </c>
      <c r="I1050" t="s">
        <v>29</v>
      </c>
      <c r="J1050" t="s">
        <v>31</v>
      </c>
      <c r="K1050" t="s">
        <v>30</v>
      </c>
      <c r="L1050" t="s">
        <v>31</v>
      </c>
      <c r="M1050" t="s">
        <v>97</v>
      </c>
      <c r="N1050">
        <v>15</v>
      </c>
      <c r="O1050">
        <v>4</v>
      </c>
      <c r="P1050">
        <v>0</v>
      </c>
      <c r="Q1050">
        <v>332.7814569536424</v>
      </c>
      <c r="R1050">
        <v>2.943340691685062</v>
      </c>
      <c r="S1050">
        <v>113.0625</v>
      </c>
      <c r="T1050">
        <v>0</v>
      </c>
      <c r="U1050">
        <v>0</v>
      </c>
      <c r="V1050">
        <v>0</v>
      </c>
      <c r="W1050">
        <v>7.501082124259871</v>
      </c>
      <c r="X1050">
        <v>0</v>
      </c>
    </row>
    <row r="1051" spans="1:24">
      <c r="A1051" t="s">
        <v>3192</v>
      </c>
      <c r="B1051" t="s">
        <v>3193</v>
      </c>
      <c r="C1051" t="s">
        <v>35</v>
      </c>
      <c r="D1051">
        <v>4.418</v>
      </c>
      <c r="E1051">
        <v>3509</v>
      </c>
      <c r="F1051">
        <v>19</v>
      </c>
      <c r="G1051" t="s">
        <v>27</v>
      </c>
      <c r="H1051" t="s">
        <v>3194</v>
      </c>
      <c r="I1051" t="s">
        <v>29</v>
      </c>
      <c r="J1051" t="s">
        <v>30</v>
      </c>
      <c r="K1051" t="s">
        <v>30</v>
      </c>
      <c r="L1051" t="s">
        <v>38</v>
      </c>
      <c r="M1051" t="s">
        <v>97</v>
      </c>
      <c r="N1051">
        <v>15</v>
      </c>
      <c r="O1051">
        <v>4</v>
      </c>
      <c r="P1051">
        <v>0</v>
      </c>
      <c r="Q1051">
        <v>794.2507922136713</v>
      </c>
      <c r="R1051">
        <v>4.300588501584428</v>
      </c>
      <c r="S1051">
        <v>184.6842105263158</v>
      </c>
      <c r="T1051">
        <v>0</v>
      </c>
      <c r="U1051">
        <v>0</v>
      </c>
      <c r="V1051">
        <v>0</v>
      </c>
      <c r="W1051">
        <v>8.163371316459912</v>
      </c>
      <c r="X1051">
        <v>0</v>
      </c>
    </row>
    <row r="1052" spans="1:24">
      <c r="A1052" t="s">
        <v>3195</v>
      </c>
      <c r="B1052" t="s">
        <v>3196</v>
      </c>
      <c r="C1052" t="s">
        <v>35</v>
      </c>
      <c r="D1052">
        <v>2.867</v>
      </c>
      <c r="E1052">
        <v>415</v>
      </c>
      <c r="F1052">
        <v>20</v>
      </c>
      <c r="G1052" t="s">
        <v>47</v>
      </c>
      <c r="H1052" t="s">
        <v>3197</v>
      </c>
      <c r="I1052" t="s">
        <v>29</v>
      </c>
      <c r="J1052" t="s">
        <v>31</v>
      </c>
      <c r="K1052" t="s">
        <v>30</v>
      </c>
      <c r="L1052" t="s">
        <v>30</v>
      </c>
      <c r="M1052" t="s">
        <v>44</v>
      </c>
      <c r="N1052">
        <v>15</v>
      </c>
      <c r="O1052">
        <v>4</v>
      </c>
      <c r="P1052">
        <v>0</v>
      </c>
      <c r="Q1052">
        <v>144.7506103941402</v>
      </c>
      <c r="R1052">
        <v>6.975933031042902</v>
      </c>
      <c r="S1052">
        <v>20.75</v>
      </c>
      <c r="T1052">
        <v>0</v>
      </c>
      <c r="U1052">
        <v>0</v>
      </c>
      <c r="V1052">
        <v>0</v>
      </c>
      <c r="W1052">
        <v>6.030685260261263</v>
      </c>
      <c r="X1052">
        <v>0</v>
      </c>
    </row>
    <row r="1053" spans="1:24">
      <c r="A1053" t="s">
        <v>3198</v>
      </c>
      <c r="B1053" t="s">
        <v>3199</v>
      </c>
      <c r="C1053" t="s">
        <v>35</v>
      </c>
      <c r="D1053">
        <v>5.569</v>
      </c>
      <c r="E1053">
        <v>1692</v>
      </c>
      <c r="F1053">
        <v>15</v>
      </c>
      <c r="G1053" t="s">
        <v>62</v>
      </c>
      <c r="H1053" t="s">
        <v>3200</v>
      </c>
      <c r="I1053" t="s">
        <v>29</v>
      </c>
      <c r="J1053" t="s">
        <v>30</v>
      </c>
      <c r="K1053" t="s">
        <v>30</v>
      </c>
      <c r="L1053" t="s">
        <v>30</v>
      </c>
      <c r="M1053" t="s">
        <v>44</v>
      </c>
      <c r="N1053">
        <v>15</v>
      </c>
      <c r="O1053">
        <v>4</v>
      </c>
      <c r="P1053">
        <v>0</v>
      </c>
      <c r="Q1053">
        <v>303.8247441192315</v>
      </c>
      <c r="R1053">
        <v>2.693481774106662</v>
      </c>
      <c r="S1053">
        <v>112.8</v>
      </c>
      <c r="T1053">
        <v>0</v>
      </c>
      <c r="U1053">
        <v>0</v>
      </c>
      <c r="V1053">
        <v>0</v>
      </c>
      <c r="W1053">
        <v>7.434257382133135</v>
      </c>
      <c r="X1053">
        <v>0</v>
      </c>
    </row>
    <row r="1054" spans="1:24">
      <c r="A1054" t="s">
        <v>3201</v>
      </c>
      <c r="B1054" t="s">
        <v>3202</v>
      </c>
      <c r="C1054" t="s">
        <v>26</v>
      </c>
      <c r="D1054">
        <v>3.011</v>
      </c>
      <c r="E1054">
        <v>1815</v>
      </c>
      <c r="F1054">
        <v>15</v>
      </c>
      <c r="G1054" t="s">
        <v>36</v>
      </c>
      <c r="H1054" t="s">
        <v>3203</v>
      </c>
      <c r="I1054" t="s">
        <v>29</v>
      </c>
      <c r="J1054" t="s">
        <v>38</v>
      </c>
      <c r="K1054" t="s">
        <v>38</v>
      </c>
      <c r="L1054" t="s">
        <v>31</v>
      </c>
      <c r="M1054" t="s">
        <v>44</v>
      </c>
      <c r="N1054">
        <v>15</v>
      </c>
      <c r="O1054">
        <v>4</v>
      </c>
      <c r="P1054">
        <v>0</v>
      </c>
      <c r="Q1054">
        <v>602.7897708402523</v>
      </c>
      <c r="R1054">
        <v>4.981733643307871</v>
      </c>
      <c r="S1054">
        <v>121</v>
      </c>
      <c r="T1054">
        <v>0</v>
      </c>
      <c r="U1054">
        <v>0</v>
      </c>
      <c r="V1054">
        <v>0</v>
      </c>
      <c r="W1054">
        <v>7.504391559161238</v>
      </c>
      <c r="X1054">
        <v>0</v>
      </c>
    </row>
    <row r="1055" spans="1:24">
      <c r="A1055" t="s">
        <v>3204</v>
      </c>
      <c r="B1055" t="s">
        <v>3205</v>
      </c>
      <c r="C1055" t="s">
        <v>26</v>
      </c>
      <c r="D1055">
        <v>1.263</v>
      </c>
      <c r="E1055">
        <v>16211</v>
      </c>
      <c r="F1055">
        <v>30</v>
      </c>
      <c r="G1055" t="s">
        <v>47</v>
      </c>
      <c r="H1055" t="s">
        <v>3206</v>
      </c>
      <c r="I1055" t="s">
        <v>29</v>
      </c>
      <c r="J1055" t="s">
        <v>31</v>
      </c>
      <c r="K1055" t="s">
        <v>30</v>
      </c>
      <c r="L1055" t="s">
        <v>30</v>
      </c>
      <c r="M1055" t="s">
        <v>97</v>
      </c>
      <c r="N1055">
        <v>15</v>
      </c>
      <c r="O1055">
        <v>4</v>
      </c>
      <c r="P1055">
        <v>0</v>
      </c>
      <c r="Q1055">
        <v>12835.31274742676</v>
      </c>
      <c r="R1055">
        <v>23.75296912114014</v>
      </c>
      <c r="S1055">
        <v>540.3666666666667</v>
      </c>
      <c r="T1055">
        <v>0</v>
      </c>
      <c r="U1055">
        <v>0</v>
      </c>
      <c r="V1055">
        <v>1</v>
      </c>
      <c r="W1055">
        <v>9.693506987748201</v>
      </c>
      <c r="X1055">
        <v>0</v>
      </c>
    </row>
    <row r="1056" spans="1:24">
      <c r="A1056" t="s">
        <v>3207</v>
      </c>
      <c r="B1056" t="s">
        <v>3208</v>
      </c>
      <c r="C1056" t="s">
        <v>35</v>
      </c>
      <c r="D1056">
        <v>0.641</v>
      </c>
      <c r="E1056">
        <v>4412</v>
      </c>
      <c r="F1056">
        <v>20</v>
      </c>
      <c r="G1056" t="s">
        <v>47</v>
      </c>
      <c r="H1056" t="s">
        <v>3209</v>
      </c>
      <c r="I1056" t="s">
        <v>29</v>
      </c>
      <c r="J1056" t="s">
        <v>31</v>
      </c>
      <c r="K1056" t="s">
        <v>30</v>
      </c>
      <c r="L1056" t="s">
        <v>31</v>
      </c>
      <c r="M1056" t="s">
        <v>83</v>
      </c>
      <c r="N1056">
        <v>15</v>
      </c>
      <c r="O1056">
        <v>4</v>
      </c>
      <c r="P1056">
        <v>0</v>
      </c>
      <c r="Q1056">
        <v>6882.995319812792</v>
      </c>
      <c r="R1056">
        <v>31.201248049922</v>
      </c>
      <c r="S1056">
        <v>220.6</v>
      </c>
      <c r="T1056">
        <v>0</v>
      </c>
      <c r="U1056">
        <v>0</v>
      </c>
      <c r="V1056">
        <v>0</v>
      </c>
      <c r="W1056">
        <v>8.392310009269547</v>
      </c>
      <c r="X1056">
        <v>0</v>
      </c>
    </row>
    <row r="1057" spans="1:24">
      <c r="A1057" t="s">
        <v>3210</v>
      </c>
      <c r="B1057" t="s">
        <v>3211</v>
      </c>
      <c r="C1057" t="s">
        <v>35</v>
      </c>
      <c r="D1057">
        <v>1.595</v>
      </c>
      <c r="E1057">
        <v>9230</v>
      </c>
      <c r="F1057">
        <v>115</v>
      </c>
      <c r="G1057" t="s">
        <v>36</v>
      </c>
      <c r="H1057" t="s">
        <v>3212</v>
      </c>
      <c r="I1057" t="s">
        <v>49</v>
      </c>
      <c r="J1057" t="s">
        <v>38</v>
      </c>
      <c r="K1057" t="s">
        <v>30</v>
      </c>
      <c r="L1057" t="s">
        <v>31</v>
      </c>
      <c r="M1057" t="s">
        <v>44</v>
      </c>
      <c r="N1057">
        <v>15</v>
      </c>
      <c r="O1057">
        <v>4</v>
      </c>
      <c r="P1057">
        <v>0</v>
      </c>
      <c r="Q1057">
        <v>5786.833855799373</v>
      </c>
      <c r="R1057">
        <v>72.10031347962382</v>
      </c>
      <c r="S1057">
        <v>80.26086956521739</v>
      </c>
      <c r="T1057">
        <v>0</v>
      </c>
      <c r="U1057">
        <v>0</v>
      </c>
      <c r="V1057">
        <v>0</v>
      </c>
      <c r="W1057">
        <v>9.130322663990151</v>
      </c>
      <c r="X1057">
        <v>1</v>
      </c>
    </row>
    <row r="1058" spans="1:24">
      <c r="A1058" t="s">
        <v>3213</v>
      </c>
      <c r="B1058" t="s">
        <v>3214</v>
      </c>
      <c r="C1058" t="s">
        <v>35</v>
      </c>
      <c r="D1058">
        <v>4.315</v>
      </c>
      <c r="E1058">
        <v>5061</v>
      </c>
      <c r="F1058">
        <v>23</v>
      </c>
      <c r="G1058" t="s">
        <v>36</v>
      </c>
      <c r="H1058" t="s">
        <v>3215</v>
      </c>
      <c r="I1058" t="s">
        <v>29</v>
      </c>
      <c r="J1058" t="s">
        <v>38</v>
      </c>
      <c r="K1058" t="s">
        <v>30</v>
      </c>
      <c r="L1058" t="s">
        <v>30</v>
      </c>
      <c r="M1058" t="s">
        <v>44</v>
      </c>
      <c r="N1058">
        <v>16</v>
      </c>
      <c r="O1058">
        <v>4</v>
      </c>
      <c r="P1058">
        <v>0</v>
      </c>
      <c r="Q1058">
        <v>1172.885283893395</v>
      </c>
      <c r="R1058">
        <v>5.330243337195828</v>
      </c>
      <c r="S1058">
        <v>220.0434782608696</v>
      </c>
      <c r="T1058">
        <v>0</v>
      </c>
      <c r="U1058">
        <v>0</v>
      </c>
      <c r="V1058">
        <v>0</v>
      </c>
      <c r="W1058">
        <v>8.529516941105069</v>
      </c>
      <c r="X1058">
        <v>0</v>
      </c>
    </row>
    <row r="1059" spans="1:24">
      <c r="A1059" t="s">
        <v>3216</v>
      </c>
      <c r="B1059" t="s">
        <v>3217</v>
      </c>
      <c r="C1059" t="s">
        <v>26</v>
      </c>
      <c r="D1059">
        <v>2.391</v>
      </c>
      <c r="E1059">
        <v>5690</v>
      </c>
      <c r="F1059">
        <v>24</v>
      </c>
      <c r="G1059" t="s">
        <v>36</v>
      </c>
      <c r="H1059" t="s">
        <v>3218</v>
      </c>
      <c r="I1059" t="s">
        <v>29</v>
      </c>
      <c r="J1059" t="s">
        <v>38</v>
      </c>
      <c r="K1059" t="s">
        <v>30</v>
      </c>
      <c r="L1059" t="s">
        <v>38</v>
      </c>
      <c r="M1059" t="s">
        <v>32</v>
      </c>
      <c r="N1059">
        <v>16</v>
      </c>
      <c r="O1059">
        <v>4</v>
      </c>
      <c r="P1059">
        <v>0</v>
      </c>
      <c r="Q1059">
        <v>2379.757423672104</v>
      </c>
      <c r="R1059">
        <v>10.03764115432873</v>
      </c>
      <c r="S1059">
        <v>237.0833333333333</v>
      </c>
      <c r="T1059">
        <v>0</v>
      </c>
      <c r="U1059">
        <v>0</v>
      </c>
      <c r="V1059">
        <v>0</v>
      </c>
      <c r="W1059">
        <v>8.646641258603124</v>
      </c>
      <c r="X1059">
        <v>0</v>
      </c>
    </row>
    <row r="1060" spans="1:24">
      <c r="A1060" t="s">
        <v>3219</v>
      </c>
      <c r="B1060" t="s">
        <v>3220</v>
      </c>
      <c r="C1060" t="s">
        <v>52</v>
      </c>
      <c r="D1060">
        <v>3.146</v>
      </c>
      <c r="E1060">
        <v>5285</v>
      </c>
      <c r="F1060">
        <v>21</v>
      </c>
      <c r="G1060" t="s">
        <v>36</v>
      </c>
      <c r="H1060" t="s">
        <v>3221</v>
      </c>
      <c r="I1060" t="s">
        <v>29</v>
      </c>
      <c r="J1060" t="s">
        <v>38</v>
      </c>
      <c r="K1060" t="s">
        <v>30</v>
      </c>
      <c r="L1060" t="s">
        <v>30</v>
      </c>
      <c r="M1060" t="s">
        <v>76</v>
      </c>
      <c r="N1060">
        <v>16</v>
      </c>
      <c r="O1060">
        <v>4</v>
      </c>
      <c r="P1060">
        <v>0</v>
      </c>
      <c r="Q1060">
        <v>1679.910998092816</v>
      </c>
      <c r="R1060">
        <v>6.675143038779402</v>
      </c>
      <c r="S1060">
        <v>251.6666666666666</v>
      </c>
      <c r="T1060">
        <v>0</v>
      </c>
      <c r="U1060">
        <v>0</v>
      </c>
      <c r="V1060">
        <v>0</v>
      </c>
      <c r="W1060">
        <v>8.572817095164234</v>
      </c>
      <c r="X1060">
        <v>0</v>
      </c>
    </row>
    <row r="1061" spans="1:24">
      <c r="A1061" t="s">
        <v>3222</v>
      </c>
      <c r="B1061" t="s">
        <v>3223</v>
      </c>
      <c r="C1061" t="s">
        <v>52</v>
      </c>
      <c r="D1061">
        <v>1.499</v>
      </c>
      <c r="E1061">
        <v>1541</v>
      </c>
      <c r="F1061">
        <v>22</v>
      </c>
      <c r="G1061" t="s">
        <v>62</v>
      </c>
      <c r="H1061" t="s">
        <v>3224</v>
      </c>
      <c r="I1061" t="s">
        <v>29</v>
      </c>
      <c r="J1061" t="s">
        <v>30</v>
      </c>
      <c r="K1061" t="s">
        <v>30</v>
      </c>
      <c r="L1061" t="s">
        <v>30</v>
      </c>
      <c r="M1061" t="s">
        <v>83</v>
      </c>
      <c r="N1061">
        <v>16</v>
      </c>
      <c r="O1061">
        <v>4</v>
      </c>
      <c r="P1061">
        <v>0</v>
      </c>
      <c r="Q1061">
        <v>1028.018679119413</v>
      </c>
      <c r="R1061">
        <v>14.67645096731154</v>
      </c>
      <c r="S1061">
        <v>70.04545454545455</v>
      </c>
      <c r="T1061">
        <v>0</v>
      </c>
      <c r="U1061">
        <v>0</v>
      </c>
      <c r="V1061">
        <v>0</v>
      </c>
      <c r="W1061">
        <v>7.340835554123275</v>
      </c>
      <c r="X1061">
        <v>0</v>
      </c>
    </row>
    <row r="1062" spans="1:24">
      <c r="A1062" t="s">
        <v>3225</v>
      </c>
      <c r="B1062" t="s">
        <v>3226</v>
      </c>
      <c r="C1062" t="s">
        <v>35</v>
      </c>
      <c r="D1062">
        <v>1.934</v>
      </c>
      <c r="E1062">
        <v>11170</v>
      </c>
      <c r="F1062">
        <v>27</v>
      </c>
      <c r="G1062" t="s">
        <v>36</v>
      </c>
      <c r="H1062" t="s">
        <v>3227</v>
      </c>
      <c r="I1062" t="s">
        <v>29</v>
      </c>
      <c r="J1062" t="s">
        <v>38</v>
      </c>
      <c r="K1062" t="s">
        <v>30</v>
      </c>
      <c r="L1062" t="s">
        <v>38</v>
      </c>
      <c r="M1062" t="s">
        <v>44</v>
      </c>
      <c r="N1062">
        <v>16</v>
      </c>
      <c r="O1062">
        <v>4</v>
      </c>
      <c r="P1062">
        <v>0</v>
      </c>
      <c r="Q1062">
        <v>5775.59462254395</v>
      </c>
      <c r="R1062">
        <v>13.96070320579111</v>
      </c>
      <c r="S1062">
        <v>413.7037037037037</v>
      </c>
      <c r="T1062">
        <v>0</v>
      </c>
      <c r="U1062">
        <v>0</v>
      </c>
      <c r="V1062">
        <v>1</v>
      </c>
      <c r="W1062">
        <v>9.321076413570848</v>
      </c>
      <c r="X1062">
        <v>0</v>
      </c>
    </row>
    <row r="1063" spans="1:24">
      <c r="A1063" t="s">
        <v>3228</v>
      </c>
      <c r="B1063" t="s">
        <v>3229</v>
      </c>
      <c r="C1063" t="s">
        <v>26</v>
      </c>
      <c r="D1063">
        <v>2.1</v>
      </c>
      <c r="E1063">
        <v>2765</v>
      </c>
      <c r="F1063">
        <v>17</v>
      </c>
      <c r="G1063" t="s">
        <v>62</v>
      </c>
      <c r="H1063" t="s">
        <v>3230</v>
      </c>
      <c r="I1063" t="s">
        <v>29</v>
      </c>
      <c r="J1063" t="s">
        <v>30</v>
      </c>
      <c r="K1063" t="s">
        <v>30</v>
      </c>
      <c r="L1063" t="s">
        <v>30</v>
      </c>
      <c r="M1063" t="s">
        <v>97</v>
      </c>
      <c r="N1063">
        <v>16</v>
      </c>
      <c r="O1063">
        <v>4</v>
      </c>
      <c r="P1063">
        <v>0</v>
      </c>
      <c r="Q1063">
        <v>1316.666666666666</v>
      </c>
      <c r="R1063">
        <v>8.095238095238095</v>
      </c>
      <c r="S1063">
        <v>162.6470588235294</v>
      </c>
      <c r="T1063">
        <v>0</v>
      </c>
      <c r="U1063">
        <v>0</v>
      </c>
      <c r="V1063">
        <v>0</v>
      </c>
      <c r="W1063">
        <v>7.925157512224703</v>
      </c>
      <c r="X1063">
        <v>0</v>
      </c>
    </row>
    <row r="1064" spans="1:24">
      <c r="A1064" t="s">
        <v>3231</v>
      </c>
      <c r="B1064" t="s">
        <v>3232</v>
      </c>
      <c r="C1064" t="s">
        <v>35</v>
      </c>
      <c r="D1064">
        <v>3.522</v>
      </c>
      <c r="E1064">
        <v>2718</v>
      </c>
      <c r="F1064">
        <v>23</v>
      </c>
      <c r="G1064" t="s">
        <v>36</v>
      </c>
      <c r="H1064" t="s">
        <v>3233</v>
      </c>
      <c r="I1064" t="s">
        <v>29</v>
      </c>
      <c r="J1064" t="s">
        <v>38</v>
      </c>
      <c r="K1064" t="s">
        <v>30</v>
      </c>
      <c r="L1064" t="s">
        <v>30</v>
      </c>
      <c r="M1064" t="s">
        <v>97</v>
      </c>
      <c r="N1064">
        <v>16</v>
      </c>
      <c r="O1064">
        <v>4</v>
      </c>
      <c r="P1064">
        <v>0</v>
      </c>
      <c r="Q1064">
        <v>771.7206132879046</v>
      </c>
      <c r="R1064">
        <v>6.53038046564452</v>
      </c>
      <c r="S1064">
        <v>118.1739130434783</v>
      </c>
      <c r="T1064">
        <v>0</v>
      </c>
      <c r="U1064">
        <v>0</v>
      </c>
      <c r="V1064">
        <v>0</v>
      </c>
      <c r="W1064">
        <v>7.908019444632471</v>
      </c>
      <c r="X1064">
        <v>0</v>
      </c>
    </row>
    <row r="1065" spans="1:24">
      <c r="A1065" t="s">
        <v>3234</v>
      </c>
      <c r="B1065" t="s">
        <v>3235</v>
      </c>
      <c r="C1065" t="s">
        <v>35</v>
      </c>
      <c r="D1065">
        <v>5.155</v>
      </c>
      <c r="E1065">
        <v>4818</v>
      </c>
      <c r="F1065">
        <v>15</v>
      </c>
      <c r="G1065" t="s">
        <v>36</v>
      </c>
      <c r="H1065" t="s">
        <v>3236</v>
      </c>
      <c r="I1065" t="s">
        <v>29</v>
      </c>
      <c r="J1065" t="s">
        <v>38</v>
      </c>
      <c r="K1065" t="s">
        <v>38</v>
      </c>
      <c r="L1065" t="s">
        <v>30</v>
      </c>
      <c r="M1065" t="s">
        <v>83</v>
      </c>
      <c r="N1065">
        <v>16</v>
      </c>
      <c r="O1065">
        <v>4</v>
      </c>
      <c r="P1065">
        <v>0</v>
      </c>
      <c r="Q1065">
        <v>934.6265761396702</v>
      </c>
      <c r="R1065">
        <v>2.909796314258002</v>
      </c>
      <c r="S1065">
        <v>321.2</v>
      </c>
      <c r="T1065">
        <v>0</v>
      </c>
      <c r="U1065">
        <v>0</v>
      </c>
      <c r="V1065">
        <v>0</v>
      </c>
      <c r="W1065">
        <v>8.480321716640333</v>
      </c>
      <c r="X1065">
        <v>0</v>
      </c>
    </row>
    <row r="1066" spans="1:24">
      <c r="A1066" t="s">
        <v>3237</v>
      </c>
      <c r="B1066" t="s">
        <v>3238</v>
      </c>
      <c r="C1066" t="s">
        <v>35</v>
      </c>
      <c r="D1066">
        <v>4.183</v>
      </c>
      <c r="E1066">
        <v>2869</v>
      </c>
      <c r="F1066">
        <v>17</v>
      </c>
      <c r="G1066" t="s">
        <v>27</v>
      </c>
      <c r="H1066" t="s">
        <v>3239</v>
      </c>
      <c r="I1066" t="s">
        <v>29</v>
      </c>
      <c r="J1066" t="s">
        <v>30</v>
      </c>
      <c r="K1066" t="s">
        <v>30</v>
      </c>
      <c r="L1066" t="s">
        <v>31</v>
      </c>
      <c r="M1066" t="s">
        <v>44</v>
      </c>
      <c r="N1066">
        <v>16</v>
      </c>
      <c r="O1066">
        <v>4</v>
      </c>
      <c r="P1066">
        <v>0</v>
      </c>
      <c r="Q1066">
        <v>685.8713841740378</v>
      </c>
      <c r="R1066">
        <v>4.064068850107579</v>
      </c>
      <c r="S1066">
        <v>168.7647058823529</v>
      </c>
      <c r="T1066">
        <v>0</v>
      </c>
      <c r="U1066">
        <v>0</v>
      </c>
      <c r="V1066">
        <v>0</v>
      </c>
      <c r="W1066">
        <v>7.962067308753666</v>
      </c>
      <c r="X1066">
        <v>0</v>
      </c>
    </row>
    <row r="1067" spans="1:24">
      <c r="A1067" t="s">
        <v>3240</v>
      </c>
      <c r="B1067" t="s">
        <v>3241</v>
      </c>
      <c r="C1067" t="s">
        <v>35</v>
      </c>
      <c r="D1067">
        <v>3.726</v>
      </c>
      <c r="E1067">
        <v>4702</v>
      </c>
      <c r="F1067">
        <v>22</v>
      </c>
      <c r="G1067" t="s">
        <v>27</v>
      </c>
      <c r="H1067" t="s">
        <v>3242</v>
      </c>
      <c r="I1067" t="s">
        <v>29</v>
      </c>
      <c r="J1067" t="s">
        <v>30</v>
      </c>
      <c r="K1067" t="s">
        <v>30</v>
      </c>
      <c r="L1067" t="s">
        <v>31</v>
      </c>
      <c r="M1067" t="s">
        <v>39</v>
      </c>
      <c r="N1067">
        <v>16</v>
      </c>
      <c r="O1067">
        <v>4</v>
      </c>
      <c r="P1067">
        <v>0</v>
      </c>
      <c r="Q1067">
        <v>1261.943102522813</v>
      </c>
      <c r="R1067">
        <v>5.904455179817499</v>
      </c>
      <c r="S1067">
        <v>213.7272727272727</v>
      </c>
      <c r="T1067">
        <v>0</v>
      </c>
      <c r="U1067">
        <v>0</v>
      </c>
      <c r="V1067">
        <v>0</v>
      </c>
      <c r="W1067">
        <v>8.455955881945048</v>
      </c>
      <c r="X1067">
        <v>0</v>
      </c>
    </row>
    <row r="1068" spans="1:24">
      <c r="A1068" t="s">
        <v>3243</v>
      </c>
      <c r="B1068" t="s">
        <v>3244</v>
      </c>
      <c r="C1068" t="s">
        <v>35</v>
      </c>
      <c r="D1068">
        <v>3.626</v>
      </c>
      <c r="E1068">
        <v>1178</v>
      </c>
      <c r="F1068">
        <v>13</v>
      </c>
      <c r="G1068" t="s">
        <v>47</v>
      </c>
      <c r="H1068" t="s">
        <v>3245</v>
      </c>
      <c r="I1068" t="s">
        <v>29</v>
      </c>
      <c r="J1068" t="s">
        <v>31</v>
      </c>
      <c r="K1068" t="s">
        <v>30</v>
      </c>
      <c r="L1068" t="s">
        <v>30</v>
      </c>
      <c r="M1068" t="s">
        <v>76</v>
      </c>
      <c r="N1068">
        <v>16</v>
      </c>
      <c r="O1068">
        <v>4</v>
      </c>
      <c r="P1068">
        <v>0</v>
      </c>
      <c r="Q1068">
        <v>324.8758963044677</v>
      </c>
      <c r="R1068">
        <v>3.585217870932157</v>
      </c>
      <c r="S1068">
        <v>90.6153846153846</v>
      </c>
      <c r="T1068">
        <v>0</v>
      </c>
      <c r="U1068">
        <v>0</v>
      </c>
      <c r="V1068">
        <v>0</v>
      </c>
      <c r="W1068">
        <v>7.072421900537371</v>
      </c>
      <c r="X1068">
        <v>0</v>
      </c>
    </row>
    <row r="1069" spans="1:24">
      <c r="A1069" t="s">
        <v>3246</v>
      </c>
      <c r="B1069" t="s">
        <v>3247</v>
      </c>
      <c r="C1069" t="s">
        <v>35</v>
      </c>
      <c r="D1069">
        <v>4.769</v>
      </c>
      <c r="E1069">
        <v>4039</v>
      </c>
      <c r="F1069">
        <v>21</v>
      </c>
      <c r="G1069" t="s">
        <v>27</v>
      </c>
      <c r="H1069" t="s">
        <v>3248</v>
      </c>
      <c r="I1069" t="s">
        <v>29</v>
      </c>
      <c r="J1069" t="s">
        <v>30</v>
      </c>
      <c r="K1069" t="s">
        <v>30</v>
      </c>
      <c r="L1069" t="s">
        <v>30</v>
      </c>
      <c r="M1069" t="s">
        <v>44</v>
      </c>
      <c r="N1069">
        <v>16</v>
      </c>
      <c r="O1069">
        <v>4</v>
      </c>
      <c r="P1069">
        <v>0</v>
      </c>
      <c r="Q1069">
        <v>846.9280771650241</v>
      </c>
      <c r="R1069">
        <v>4.403438876074649</v>
      </c>
      <c r="S1069">
        <v>192.3333333333333</v>
      </c>
      <c r="T1069">
        <v>0</v>
      </c>
      <c r="U1069">
        <v>0</v>
      </c>
      <c r="V1069">
        <v>0</v>
      </c>
      <c r="W1069">
        <v>8.303999970955196</v>
      </c>
      <c r="X1069">
        <v>0</v>
      </c>
    </row>
    <row r="1070" spans="1:24">
      <c r="A1070" t="s">
        <v>3249</v>
      </c>
      <c r="B1070" t="s">
        <v>3250</v>
      </c>
      <c r="C1070" t="s">
        <v>35</v>
      </c>
      <c r="D1070">
        <v>5.057</v>
      </c>
      <c r="E1070">
        <v>2528</v>
      </c>
      <c r="F1070">
        <v>15</v>
      </c>
      <c r="G1070" t="s">
        <v>36</v>
      </c>
      <c r="H1070" t="s">
        <v>3251</v>
      </c>
      <c r="I1070" t="s">
        <v>29</v>
      </c>
      <c r="J1070" t="s">
        <v>38</v>
      </c>
      <c r="K1070" t="s">
        <v>30</v>
      </c>
      <c r="L1070" t="s">
        <v>31</v>
      </c>
      <c r="M1070" t="s">
        <v>97</v>
      </c>
      <c r="N1070">
        <v>17</v>
      </c>
      <c r="O1070">
        <v>4</v>
      </c>
      <c r="P1070">
        <v>0</v>
      </c>
      <c r="Q1070">
        <v>499.9011271504845</v>
      </c>
      <c r="R1070">
        <v>2.966185485465691</v>
      </c>
      <c r="S1070">
        <v>168.5333333333333</v>
      </c>
      <c r="T1070">
        <v>0</v>
      </c>
      <c r="U1070">
        <v>0</v>
      </c>
      <c r="V1070">
        <v>0</v>
      </c>
      <c r="W1070">
        <v>7.835579246669965</v>
      </c>
      <c r="X1070">
        <v>0</v>
      </c>
    </row>
    <row r="1071" spans="1:24">
      <c r="A1071" t="s">
        <v>3252</v>
      </c>
      <c r="B1071" t="s">
        <v>3253</v>
      </c>
      <c r="C1071" t="s">
        <v>35</v>
      </c>
      <c r="D1071">
        <v>0.881</v>
      </c>
      <c r="E1071">
        <v>977</v>
      </c>
      <c r="F1071">
        <v>17</v>
      </c>
      <c r="G1071" t="s">
        <v>36</v>
      </c>
      <c r="H1071" t="s">
        <v>3254</v>
      </c>
      <c r="I1071" t="s">
        <v>29</v>
      </c>
      <c r="J1071" t="s">
        <v>38</v>
      </c>
      <c r="K1071" t="s">
        <v>30</v>
      </c>
      <c r="L1071" t="s">
        <v>30</v>
      </c>
      <c r="M1071" t="s">
        <v>44</v>
      </c>
      <c r="N1071">
        <v>17</v>
      </c>
      <c r="O1071">
        <v>4</v>
      </c>
      <c r="P1071">
        <v>0</v>
      </c>
      <c r="Q1071">
        <v>1108.967082860386</v>
      </c>
      <c r="R1071">
        <v>19.29625425652668</v>
      </c>
      <c r="S1071">
        <v>57.47058823529412</v>
      </c>
      <c r="T1071">
        <v>0</v>
      </c>
      <c r="U1071">
        <v>0</v>
      </c>
      <c r="V1071">
        <v>0</v>
      </c>
      <c r="W1071">
        <v>6.885509670034818</v>
      </c>
      <c r="X1071">
        <v>0</v>
      </c>
    </row>
    <row r="1072" spans="1:24">
      <c r="A1072" t="s">
        <v>3255</v>
      </c>
      <c r="B1072" t="s">
        <v>3256</v>
      </c>
      <c r="C1072" t="s">
        <v>35</v>
      </c>
      <c r="D1072">
        <v>9.083</v>
      </c>
      <c r="E1072">
        <v>5990</v>
      </c>
      <c r="F1072">
        <v>21</v>
      </c>
      <c r="G1072" t="s">
        <v>62</v>
      </c>
      <c r="H1072" t="s">
        <v>3257</v>
      </c>
      <c r="I1072" t="s">
        <v>29</v>
      </c>
      <c r="J1072" t="s">
        <v>30</v>
      </c>
      <c r="K1072" t="s">
        <v>30</v>
      </c>
      <c r="L1072" t="s">
        <v>31</v>
      </c>
      <c r="M1072" t="s">
        <v>44</v>
      </c>
      <c r="N1072">
        <v>17</v>
      </c>
      <c r="O1072">
        <v>4</v>
      </c>
      <c r="P1072">
        <v>0</v>
      </c>
      <c r="Q1072">
        <v>659.4737421556754</v>
      </c>
      <c r="R1072">
        <v>2.312011449961466</v>
      </c>
      <c r="S1072">
        <v>285.2380952380952</v>
      </c>
      <c r="T1072">
        <v>0</v>
      </c>
      <c r="U1072">
        <v>0</v>
      </c>
      <c r="V1072">
        <v>0</v>
      </c>
      <c r="W1072">
        <v>8.698013622083925</v>
      </c>
      <c r="X1072">
        <v>0</v>
      </c>
    </row>
    <row r="1073" spans="1:24">
      <c r="A1073" t="s">
        <v>3258</v>
      </c>
      <c r="B1073" t="s">
        <v>3259</v>
      </c>
      <c r="C1073" t="s">
        <v>35</v>
      </c>
      <c r="D1073">
        <v>1.022</v>
      </c>
      <c r="E1073">
        <v>5524</v>
      </c>
      <c r="F1073">
        <v>22</v>
      </c>
      <c r="G1073" t="s">
        <v>27</v>
      </c>
      <c r="H1073" t="s">
        <v>3260</v>
      </c>
      <c r="I1073" t="s">
        <v>29</v>
      </c>
      <c r="J1073" t="s">
        <v>30</v>
      </c>
      <c r="K1073" t="s">
        <v>31</v>
      </c>
      <c r="L1073" t="s">
        <v>30</v>
      </c>
      <c r="M1073" t="s">
        <v>44</v>
      </c>
      <c r="N1073">
        <v>17</v>
      </c>
      <c r="O1073">
        <v>4</v>
      </c>
      <c r="P1073">
        <v>0</v>
      </c>
      <c r="Q1073">
        <v>5405.088062622309</v>
      </c>
      <c r="R1073">
        <v>21.52641878669276</v>
      </c>
      <c r="S1073">
        <v>251.0909090909091</v>
      </c>
      <c r="T1073">
        <v>0</v>
      </c>
      <c r="U1073">
        <v>0</v>
      </c>
      <c r="V1073">
        <v>0</v>
      </c>
      <c r="W1073">
        <v>8.617038526385954</v>
      </c>
      <c r="X1073">
        <v>0</v>
      </c>
    </row>
    <row r="1074" spans="1:24">
      <c r="A1074" t="s">
        <v>3261</v>
      </c>
      <c r="B1074" t="s">
        <v>3262</v>
      </c>
      <c r="C1074" t="s">
        <v>26</v>
      </c>
      <c r="D1074">
        <v>0.024</v>
      </c>
      <c r="E1074">
        <v>2805</v>
      </c>
      <c r="F1074">
        <v>3</v>
      </c>
      <c r="G1074" t="s">
        <v>27</v>
      </c>
      <c r="H1074" t="s">
        <v>3263</v>
      </c>
      <c r="I1074" t="s">
        <v>90</v>
      </c>
      <c r="J1074" t="s">
        <v>30</v>
      </c>
      <c r="K1074" t="s">
        <v>30</v>
      </c>
      <c r="L1074" t="s">
        <v>38</v>
      </c>
      <c r="M1074" t="s">
        <v>97</v>
      </c>
      <c r="N1074">
        <v>17</v>
      </c>
      <c r="O1074">
        <v>4</v>
      </c>
      <c r="P1074">
        <v>0</v>
      </c>
      <c r="Q1074">
        <v>116875</v>
      </c>
      <c r="R1074">
        <v>125</v>
      </c>
      <c r="S1074">
        <v>935</v>
      </c>
      <c r="T1074">
        <v>0</v>
      </c>
      <c r="U1074">
        <v>0</v>
      </c>
      <c r="V1074">
        <v>0</v>
      </c>
      <c r="W1074">
        <v>7.939515260662406</v>
      </c>
      <c r="X1074">
        <v>1</v>
      </c>
    </row>
    <row r="1075" spans="1:24">
      <c r="A1075" t="s">
        <v>3264</v>
      </c>
      <c r="B1075" t="s">
        <v>3265</v>
      </c>
      <c r="C1075" t="s">
        <v>35</v>
      </c>
      <c r="D1075">
        <v>1.973</v>
      </c>
      <c r="E1075">
        <v>1233</v>
      </c>
      <c r="F1075">
        <v>23</v>
      </c>
      <c r="G1075" t="s">
        <v>47</v>
      </c>
      <c r="H1075" t="s">
        <v>3266</v>
      </c>
      <c r="I1075" t="s">
        <v>29</v>
      </c>
      <c r="J1075" t="s">
        <v>31</v>
      </c>
      <c r="K1075" t="s">
        <v>31</v>
      </c>
      <c r="L1075" t="s">
        <v>31</v>
      </c>
      <c r="M1075" t="s">
        <v>44</v>
      </c>
      <c r="N1075">
        <v>17</v>
      </c>
      <c r="O1075">
        <v>4</v>
      </c>
      <c r="P1075">
        <v>0</v>
      </c>
      <c r="Q1075">
        <v>624.9366447034972</v>
      </c>
      <c r="R1075">
        <v>11.65737455651292</v>
      </c>
      <c r="S1075">
        <v>53.60869565217392</v>
      </c>
      <c r="T1075">
        <v>0</v>
      </c>
      <c r="U1075">
        <v>0</v>
      </c>
      <c r="V1075">
        <v>0</v>
      </c>
      <c r="W1075">
        <v>7.118016204465333</v>
      </c>
      <c r="X1075">
        <v>0</v>
      </c>
    </row>
    <row r="1076" spans="1:24">
      <c r="A1076" t="s">
        <v>3267</v>
      </c>
      <c r="B1076" t="s">
        <v>3268</v>
      </c>
      <c r="C1076" t="s">
        <v>35</v>
      </c>
      <c r="D1076">
        <v>3.457</v>
      </c>
      <c r="E1076">
        <v>384</v>
      </c>
      <c r="F1076">
        <v>11</v>
      </c>
      <c r="G1076" t="s">
        <v>36</v>
      </c>
      <c r="H1076" t="s">
        <v>3269</v>
      </c>
      <c r="I1076" t="s">
        <v>29</v>
      </c>
      <c r="J1076" t="s">
        <v>38</v>
      </c>
      <c r="K1076" t="s">
        <v>30</v>
      </c>
      <c r="L1076" t="s">
        <v>30</v>
      </c>
      <c r="M1076" t="s">
        <v>44</v>
      </c>
      <c r="N1076">
        <v>17</v>
      </c>
      <c r="O1076">
        <v>4</v>
      </c>
      <c r="P1076">
        <v>0</v>
      </c>
      <c r="Q1076">
        <v>111.0789702053804</v>
      </c>
      <c r="R1076">
        <v>3.181949667341626</v>
      </c>
      <c r="S1076">
        <v>34.90909090909091</v>
      </c>
      <c r="T1076">
        <v>0</v>
      </c>
      <c r="U1076">
        <v>0</v>
      </c>
      <c r="V1076">
        <v>0</v>
      </c>
      <c r="W1076">
        <v>5.953243334287785</v>
      </c>
      <c r="X1076">
        <v>0</v>
      </c>
    </row>
    <row r="1077" spans="1:24">
      <c r="A1077" t="s">
        <v>3270</v>
      </c>
      <c r="B1077" t="s">
        <v>3271</v>
      </c>
      <c r="C1077" t="s">
        <v>35</v>
      </c>
      <c r="D1077">
        <v>4.362</v>
      </c>
      <c r="E1077">
        <v>3865</v>
      </c>
      <c r="F1077">
        <v>17</v>
      </c>
      <c r="G1077" t="s">
        <v>27</v>
      </c>
      <c r="H1077" t="s">
        <v>3272</v>
      </c>
      <c r="I1077" t="s">
        <v>29</v>
      </c>
      <c r="J1077" t="s">
        <v>30</v>
      </c>
      <c r="K1077" t="s">
        <v>30</v>
      </c>
      <c r="L1077" t="s">
        <v>30</v>
      </c>
      <c r="M1077" t="s">
        <v>44</v>
      </c>
      <c r="N1077">
        <v>17</v>
      </c>
      <c r="O1077">
        <v>4</v>
      </c>
      <c r="P1077">
        <v>0</v>
      </c>
      <c r="Q1077">
        <v>886.0614397065566</v>
      </c>
      <c r="R1077">
        <v>3.897294818890417</v>
      </c>
      <c r="S1077">
        <v>227.3529411764706</v>
      </c>
      <c r="T1077">
        <v>0</v>
      </c>
      <c r="U1077">
        <v>0</v>
      </c>
      <c r="V1077">
        <v>0</v>
      </c>
      <c r="W1077">
        <v>8.259975659768276</v>
      </c>
      <c r="X1077">
        <v>0</v>
      </c>
    </row>
    <row r="1078" spans="1:24">
      <c r="A1078" t="s">
        <v>3273</v>
      </c>
      <c r="B1078" t="s">
        <v>3274</v>
      </c>
      <c r="C1078" t="s">
        <v>35</v>
      </c>
      <c r="D1078">
        <v>2.988</v>
      </c>
      <c r="E1078">
        <v>7809</v>
      </c>
      <c r="F1078">
        <v>21</v>
      </c>
      <c r="G1078" t="s">
        <v>62</v>
      </c>
      <c r="H1078" t="s">
        <v>3275</v>
      </c>
      <c r="I1078" t="s">
        <v>29</v>
      </c>
      <c r="J1078" t="s">
        <v>30</v>
      </c>
      <c r="K1078" t="s">
        <v>30</v>
      </c>
      <c r="L1078" t="s">
        <v>31</v>
      </c>
      <c r="M1078" t="s">
        <v>76</v>
      </c>
      <c r="N1078">
        <v>17</v>
      </c>
      <c r="O1078">
        <v>4</v>
      </c>
      <c r="P1078">
        <v>0</v>
      </c>
      <c r="Q1078">
        <v>2613.453815261044</v>
      </c>
      <c r="R1078">
        <v>7.028112449799197</v>
      </c>
      <c r="S1078">
        <v>371.8571428571428</v>
      </c>
      <c r="T1078">
        <v>0</v>
      </c>
      <c r="U1078">
        <v>0</v>
      </c>
      <c r="V1078">
        <v>0</v>
      </c>
      <c r="W1078">
        <v>8.963160242833732</v>
      </c>
      <c r="X1078">
        <v>0</v>
      </c>
    </row>
    <row r="1079" spans="1:24">
      <c r="A1079" t="s">
        <v>3276</v>
      </c>
      <c r="B1079" t="s">
        <v>3277</v>
      </c>
      <c r="C1079" t="s">
        <v>130</v>
      </c>
      <c r="D1079">
        <v>3.354</v>
      </c>
      <c r="E1079">
        <v>5692</v>
      </c>
      <c r="F1079">
        <v>18</v>
      </c>
      <c r="G1079" t="s">
        <v>47</v>
      </c>
      <c r="H1079" t="s">
        <v>3278</v>
      </c>
      <c r="I1079" t="s">
        <v>29</v>
      </c>
      <c r="J1079" t="s">
        <v>31</v>
      </c>
      <c r="K1079" t="s">
        <v>30</v>
      </c>
      <c r="L1079" t="s">
        <v>31</v>
      </c>
      <c r="M1079" t="s">
        <v>97</v>
      </c>
      <c r="N1079">
        <v>17</v>
      </c>
      <c r="O1079">
        <v>4</v>
      </c>
      <c r="P1079">
        <v>0</v>
      </c>
      <c r="Q1079">
        <v>1697.078115682767</v>
      </c>
      <c r="R1079">
        <v>5.366726296958855</v>
      </c>
      <c r="S1079">
        <v>316.2222222222222</v>
      </c>
      <c r="T1079">
        <v>0</v>
      </c>
      <c r="U1079">
        <v>0</v>
      </c>
      <c r="V1079">
        <v>0</v>
      </c>
      <c r="W1079">
        <v>8.646992628951082</v>
      </c>
      <c r="X1079">
        <v>0</v>
      </c>
    </row>
    <row r="1080" spans="1:24">
      <c r="A1080" t="s">
        <v>3279</v>
      </c>
      <c r="B1080" t="s">
        <v>3280</v>
      </c>
      <c r="C1080" t="s">
        <v>35</v>
      </c>
      <c r="D1080">
        <v>0.108</v>
      </c>
      <c r="E1080">
        <v>1243</v>
      </c>
      <c r="F1080">
        <v>3</v>
      </c>
      <c r="G1080" t="s">
        <v>62</v>
      </c>
      <c r="H1080" t="s">
        <v>3281</v>
      </c>
      <c r="I1080" t="s">
        <v>90</v>
      </c>
      <c r="J1080" t="s">
        <v>30</v>
      </c>
      <c r="K1080" t="s">
        <v>38</v>
      </c>
      <c r="L1080" t="s">
        <v>31</v>
      </c>
      <c r="M1080" t="s">
        <v>44</v>
      </c>
      <c r="N1080">
        <v>17</v>
      </c>
      <c r="O1080">
        <v>4</v>
      </c>
      <c r="P1080">
        <v>0</v>
      </c>
      <c r="Q1080">
        <v>11509.25925925926</v>
      </c>
      <c r="R1080">
        <v>27.77777777777778</v>
      </c>
      <c r="S1080">
        <v>414.3333333333333</v>
      </c>
      <c r="T1080">
        <v>0</v>
      </c>
      <c r="U1080">
        <v>0</v>
      </c>
      <c r="V1080">
        <v>0</v>
      </c>
      <c r="W1080">
        <v>7.126087273299125</v>
      </c>
      <c r="X1080">
        <v>1</v>
      </c>
    </row>
    <row r="1081" spans="1:24">
      <c r="A1081" t="s">
        <v>3282</v>
      </c>
      <c r="B1081" t="s">
        <v>3283</v>
      </c>
      <c r="C1081" t="s">
        <v>26</v>
      </c>
      <c r="D1081">
        <v>0.439</v>
      </c>
      <c r="E1081">
        <v>1145</v>
      </c>
      <c r="F1081">
        <v>13</v>
      </c>
      <c r="G1081" t="s">
        <v>36</v>
      </c>
      <c r="H1081" t="s">
        <v>3284</v>
      </c>
      <c r="I1081" t="s">
        <v>29</v>
      </c>
      <c r="J1081" t="s">
        <v>38</v>
      </c>
      <c r="K1081" t="s">
        <v>31</v>
      </c>
      <c r="L1081" t="s">
        <v>30</v>
      </c>
      <c r="M1081" t="s">
        <v>44</v>
      </c>
      <c r="N1081">
        <v>17</v>
      </c>
      <c r="O1081">
        <v>4</v>
      </c>
      <c r="P1081">
        <v>0</v>
      </c>
      <c r="Q1081">
        <v>2608.200455580866</v>
      </c>
      <c r="R1081">
        <v>29.6127562642369</v>
      </c>
      <c r="S1081">
        <v>88.07692307692308</v>
      </c>
      <c r="T1081">
        <v>0</v>
      </c>
      <c r="U1081">
        <v>0</v>
      </c>
      <c r="V1081">
        <v>0</v>
      </c>
      <c r="W1081">
        <v>7.044032897274685</v>
      </c>
      <c r="X1081">
        <v>0</v>
      </c>
    </row>
    <row r="1082" spans="1:24">
      <c r="A1082" t="s">
        <v>3285</v>
      </c>
      <c r="B1082" t="s">
        <v>3286</v>
      </c>
      <c r="C1082" t="s">
        <v>52</v>
      </c>
      <c r="D1082">
        <v>0.969</v>
      </c>
      <c r="E1082">
        <v>1993</v>
      </c>
      <c r="F1082">
        <v>16</v>
      </c>
      <c r="G1082" t="s">
        <v>47</v>
      </c>
      <c r="H1082" t="s">
        <v>3287</v>
      </c>
      <c r="I1082" t="s">
        <v>29</v>
      </c>
      <c r="J1082" t="s">
        <v>31</v>
      </c>
      <c r="K1082" t="s">
        <v>30</v>
      </c>
      <c r="L1082" t="s">
        <v>30</v>
      </c>
      <c r="M1082" t="s">
        <v>97</v>
      </c>
      <c r="N1082">
        <v>18</v>
      </c>
      <c r="O1082">
        <v>4</v>
      </c>
      <c r="P1082">
        <v>0</v>
      </c>
      <c r="Q1082">
        <v>2056.759545923633</v>
      </c>
      <c r="R1082">
        <v>16.51186790505676</v>
      </c>
      <c r="S1082">
        <v>124.5625</v>
      </c>
      <c r="T1082">
        <v>0</v>
      </c>
      <c r="U1082">
        <v>0</v>
      </c>
      <c r="V1082">
        <v>0</v>
      </c>
      <c r="W1082">
        <v>7.597897950521784</v>
      </c>
      <c r="X1082">
        <v>0</v>
      </c>
    </row>
    <row r="1083" spans="1:24">
      <c r="A1083" t="s">
        <v>3288</v>
      </c>
      <c r="B1083" t="s">
        <v>3289</v>
      </c>
      <c r="C1083" t="s">
        <v>35</v>
      </c>
      <c r="D1083">
        <v>4.318</v>
      </c>
      <c r="E1083">
        <v>4151</v>
      </c>
      <c r="F1083">
        <v>14</v>
      </c>
      <c r="G1083" t="s">
        <v>36</v>
      </c>
      <c r="H1083" t="s">
        <v>3290</v>
      </c>
      <c r="I1083" t="s">
        <v>29</v>
      </c>
      <c r="J1083" t="s">
        <v>38</v>
      </c>
      <c r="K1083" t="s">
        <v>30</v>
      </c>
      <c r="L1083" t="s">
        <v>38</v>
      </c>
      <c r="M1083" t="s">
        <v>44</v>
      </c>
      <c r="N1083">
        <v>18</v>
      </c>
      <c r="O1083">
        <v>4</v>
      </c>
      <c r="P1083">
        <v>0</v>
      </c>
      <c r="Q1083">
        <v>961.3246873552572</v>
      </c>
      <c r="R1083">
        <v>3.242241778601205</v>
      </c>
      <c r="S1083">
        <v>296.5</v>
      </c>
      <c r="T1083">
        <v>0</v>
      </c>
      <c r="U1083">
        <v>0</v>
      </c>
      <c r="V1083">
        <v>0</v>
      </c>
      <c r="W1083">
        <v>8.331345424845724</v>
      </c>
      <c r="X1083">
        <v>0</v>
      </c>
    </row>
    <row r="1084" spans="1:24">
      <c r="A1084" t="s">
        <v>3291</v>
      </c>
      <c r="B1084" t="s">
        <v>3292</v>
      </c>
      <c r="C1084" t="s">
        <v>26</v>
      </c>
      <c r="D1084">
        <v>8.541</v>
      </c>
      <c r="E1084">
        <v>4099</v>
      </c>
      <c r="F1084">
        <v>19</v>
      </c>
      <c r="G1084" t="s">
        <v>27</v>
      </c>
      <c r="H1084" t="s">
        <v>3293</v>
      </c>
      <c r="I1084" t="s">
        <v>29</v>
      </c>
      <c r="J1084" t="s">
        <v>30</v>
      </c>
      <c r="K1084" t="s">
        <v>30</v>
      </c>
      <c r="L1084" t="s">
        <v>30</v>
      </c>
      <c r="M1084" t="s">
        <v>44</v>
      </c>
      <c r="N1084">
        <v>18</v>
      </c>
      <c r="O1084">
        <v>4</v>
      </c>
      <c r="P1084">
        <v>0</v>
      </c>
      <c r="Q1084">
        <v>479.920384029973</v>
      </c>
      <c r="R1084">
        <v>2.224563868399485</v>
      </c>
      <c r="S1084">
        <v>215.7368421052632</v>
      </c>
      <c r="T1084">
        <v>0</v>
      </c>
      <c r="U1084">
        <v>0</v>
      </c>
      <c r="V1084">
        <v>0</v>
      </c>
      <c r="W1084">
        <v>8.318742252692399</v>
      </c>
      <c r="X1084">
        <v>0</v>
      </c>
    </row>
    <row r="1085" spans="1:24">
      <c r="A1085" t="s">
        <v>3294</v>
      </c>
      <c r="B1085" t="s">
        <v>3295</v>
      </c>
      <c r="C1085" t="s">
        <v>26</v>
      </c>
      <c r="D1085">
        <v>1.755</v>
      </c>
      <c r="E1085">
        <v>4111</v>
      </c>
      <c r="F1085">
        <v>19</v>
      </c>
      <c r="G1085" t="s">
        <v>47</v>
      </c>
      <c r="H1085" t="s">
        <v>3296</v>
      </c>
      <c r="I1085" t="s">
        <v>29</v>
      </c>
      <c r="J1085" t="s">
        <v>31</v>
      </c>
      <c r="K1085" t="s">
        <v>30</v>
      </c>
      <c r="L1085" t="s">
        <v>31</v>
      </c>
      <c r="M1085" t="s">
        <v>39</v>
      </c>
      <c r="N1085">
        <v>18</v>
      </c>
      <c r="O1085">
        <v>4</v>
      </c>
      <c r="P1085">
        <v>0</v>
      </c>
      <c r="Q1085">
        <v>2342.450142450143</v>
      </c>
      <c r="R1085">
        <v>10.82621082621083</v>
      </c>
      <c r="S1085">
        <v>216.3684210526316</v>
      </c>
      <c r="T1085">
        <v>0</v>
      </c>
      <c r="U1085">
        <v>0</v>
      </c>
      <c r="V1085">
        <v>0</v>
      </c>
      <c r="W1085">
        <v>8.321664807135001</v>
      </c>
      <c r="X1085">
        <v>0</v>
      </c>
    </row>
    <row r="1086" spans="1:24">
      <c r="A1086" t="s">
        <v>3297</v>
      </c>
      <c r="B1086" t="s">
        <v>3298</v>
      </c>
      <c r="C1086" t="s">
        <v>26</v>
      </c>
      <c r="D1086">
        <v>2.757</v>
      </c>
      <c r="E1086">
        <v>2990</v>
      </c>
      <c r="F1086">
        <v>17</v>
      </c>
      <c r="G1086" t="s">
        <v>47</v>
      </c>
      <c r="H1086" t="s">
        <v>3299</v>
      </c>
      <c r="I1086" t="s">
        <v>29</v>
      </c>
      <c r="J1086" t="s">
        <v>31</v>
      </c>
      <c r="K1086" t="s">
        <v>30</v>
      </c>
      <c r="L1086" t="s">
        <v>30</v>
      </c>
      <c r="M1086" t="s">
        <v>44</v>
      </c>
      <c r="N1086">
        <v>18</v>
      </c>
      <c r="O1086">
        <v>4</v>
      </c>
      <c r="P1086">
        <v>0</v>
      </c>
      <c r="Q1086">
        <v>1084.512150888647</v>
      </c>
      <c r="R1086">
        <v>6.166122597025752</v>
      </c>
      <c r="S1086">
        <v>175.8823529411765</v>
      </c>
      <c r="T1086">
        <v>0</v>
      </c>
      <c r="U1086">
        <v>0</v>
      </c>
      <c r="V1086">
        <v>0</v>
      </c>
      <c r="W1086">
        <v>8.003363058629947</v>
      </c>
      <c r="X1086">
        <v>0</v>
      </c>
    </row>
    <row r="1087" spans="1:24">
      <c r="A1087" t="s">
        <v>3300</v>
      </c>
      <c r="B1087" t="s">
        <v>3301</v>
      </c>
      <c r="C1087" t="s">
        <v>35</v>
      </c>
      <c r="D1087">
        <v>2.643</v>
      </c>
      <c r="E1087">
        <v>1812</v>
      </c>
      <c r="F1087">
        <v>20</v>
      </c>
      <c r="G1087" t="s">
        <v>62</v>
      </c>
      <c r="H1087" t="s">
        <v>3302</v>
      </c>
      <c r="I1087" t="s">
        <v>29</v>
      </c>
      <c r="J1087" t="s">
        <v>30</v>
      </c>
      <c r="K1087" t="s">
        <v>31</v>
      </c>
      <c r="L1087" t="s">
        <v>31</v>
      </c>
      <c r="M1087" t="s">
        <v>44</v>
      </c>
      <c r="N1087">
        <v>18</v>
      </c>
      <c r="O1087">
        <v>4</v>
      </c>
      <c r="P1087">
        <v>0</v>
      </c>
      <c r="Q1087">
        <v>685.5845629965949</v>
      </c>
      <c r="R1087">
        <v>7.567158531971246</v>
      </c>
      <c r="S1087">
        <v>90.59999999999999</v>
      </c>
      <c r="T1087">
        <v>0</v>
      </c>
      <c r="U1087">
        <v>0</v>
      </c>
      <c r="V1087">
        <v>0</v>
      </c>
      <c r="W1087">
        <v>7.502738210754851</v>
      </c>
      <c r="X1087">
        <v>0</v>
      </c>
    </row>
    <row r="1088" spans="1:24">
      <c r="A1088" t="s">
        <v>3303</v>
      </c>
      <c r="B1088" t="s">
        <v>3304</v>
      </c>
      <c r="C1088" t="s">
        <v>130</v>
      </c>
      <c r="D1088">
        <v>2.712</v>
      </c>
      <c r="E1088">
        <v>3272</v>
      </c>
      <c r="F1088">
        <v>18</v>
      </c>
      <c r="G1088" t="s">
        <v>36</v>
      </c>
      <c r="H1088" t="s">
        <v>3305</v>
      </c>
      <c r="I1088" t="s">
        <v>29</v>
      </c>
      <c r="J1088" t="s">
        <v>38</v>
      </c>
      <c r="K1088" t="s">
        <v>31</v>
      </c>
      <c r="L1088" t="s">
        <v>38</v>
      </c>
      <c r="M1088" t="s">
        <v>32</v>
      </c>
      <c r="N1088">
        <v>18</v>
      </c>
      <c r="O1088">
        <v>4</v>
      </c>
      <c r="P1088">
        <v>0</v>
      </c>
      <c r="Q1088">
        <v>1206.489675516224</v>
      </c>
      <c r="R1088">
        <v>6.63716814159292</v>
      </c>
      <c r="S1088">
        <v>181.7777777777778</v>
      </c>
      <c r="T1088">
        <v>0</v>
      </c>
      <c r="U1088">
        <v>0</v>
      </c>
      <c r="V1088">
        <v>0</v>
      </c>
      <c r="W1088">
        <v>8.09346227450118</v>
      </c>
      <c r="X1088">
        <v>0</v>
      </c>
    </row>
    <row r="1089" spans="1:24">
      <c r="A1089" t="s">
        <v>3306</v>
      </c>
      <c r="B1089" t="s">
        <v>3307</v>
      </c>
      <c r="C1089" t="s">
        <v>26</v>
      </c>
      <c r="D1089">
        <v>3.182</v>
      </c>
      <c r="E1089">
        <v>1828</v>
      </c>
      <c r="F1089">
        <v>21</v>
      </c>
      <c r="G1089" t="s">
        <v>62</v>
      </c>
      <c r="H1089" t="s">
        <v>3308</v>
      </c>
      <c r="I1089" t="s">
        <v>29</v>
      </c>
      <c r="J1089" t="s">
        <v>30</v>
      </c>
      <c r="K1089" t="s">
        <v>31</v>
      </c>
      <c r="L1089" t="s">
        <v>31</v>
      </c>
      <c r="M1089" t="s">
        <v>97</v>
      </c>
      <c r="N1089">
        <v>18</v>
      </c>
      <c r="O1089">
        <v>4</v>
      </c>
      <c r="P1089">
        <v>0</v>
      </c>
      <c r="Q1089">
        <v>574.4814582023885</v>
      </c>
      <c r="R1089">
        <v>6.599622878692646</v>
      </c>
      <c r="S1089">
        <v>87.04761904761905</v>
      </c>
      <c r="T1089">
        <v>0</v>
      </c>
      <c r="U1089">
        <v>0</v>
      </c>
      <c r="V1089">
        <v>0</v>
      </c>
      <c r="W1089">
        <v>7.511524648390866</v>
      </c>
      <c r="X1089">
        <v>0</v>
      </c>
    </row>
    <row r="1090" spans="1:24">
      <c r="A1090" t="s">
        <v>3309</v>
      </c>
      <c r="B1090" t="s">
        <v>3310</v>
      </c>
      <c r="C1090" t="s">
        <v>26</v>
      </c>
      <c r="D1090">
        <v>0.189</v>
      </c>
      <c r="E1090">
        <v>6146</v>
      </c>
      <c r="F1090">
        <v>4</v>
      </c>
      <c r="G1090" t="s">
        <v>47</v>
      </c>
      <c r="H1090" t="s">
        <v>3311</v>
      </c>
      <c r="I1090" t="s">
        <v>90</v>
      </c>
      <c r="J1090" t="s">
        <v>31</v>
      </c>
      <c r="K1090" t="s">
        <v>30</v>
      </c>
      <c r="L1090" t="s">
        <v>30</v>
      </c>
      <c r="M1090" t="s">
        <v>39</v>
      </c>
      <c r="N1090">
        <v>18</v>
      </c>
      <c r="O1090">
        <v>4</v>
      </c>
      <c r="P1090">
        <v>0</v>
      </c>
      <c r="Q1090">
        <v>32518.51851851852</v>
      </c>
      <c r="R1090">
        <v>21.16402116402116</v>
      </c>
      <c r="S1090">
        <v>1536.5</v>
      </c>
      <c r="T1090">
        <v>0</v>
      </c>
      <c r="U1090">
        <v>0</v>
      </c>
      <c r="V1090">
        <v>0</v>
      </c>
      <c r="W1090">
        <v>8.723719436907009</v>
      </c>
      <c r="X1090">
        <v>1</v>
      </c>
    </row>
    <row r="1091" spans="1:24">
      <c r="A1091" t="s">
        <v>3312</v>
      </c>
      <c r="B1091" t="s">
        <v>3313</v>
      </c>
      <c r="C1091" t="s">
        <v>26</v>
      </c>
      <c r="D1091">
        <v>3.291</v>
      </c>
      <c r="E1091">
        <v>2266</v>
      </c>
      <c r="F1091">
        <v>10</v>
      </c>
      <c r="G1091" t="s">
        <v>47</v>
      </c>
      <c r="H1091" t="s">
        <v>3314</v>
      </c>
      <c r="I1091" t="s">
        <v>29</v>
      </c>
      <c r="J1091" t="s">
        <v>31</v>
      </c>
      <c r="K1091" t="s">
        <v>38</v>
      </c>
      <c r="L1091" t="s">
        <v>31</v>
      </c>
      <c r="M1091" t="s">
        <v>83</v>
      </c>
      <c r="N1091">
        <v>18</v>
      </c>
      <c r="O1091">
        <v>4</v>
      </c>
      <c r="P1091">
        <v>0</v>
      </c>
      <c r="Q1091">
        <v>688.54451534488</v>
      </c>
      <c r="R1091">
        <v>3.038590094196293</v>
      </c>
      <c r="S1091">
        <v>226.6</v>
      </c>
      <c r="T1091">
        <v>0</v>
      </c>
      <c r="U1091">
        <v>0</v>
      </c>
      <c r="V1091">
        <v>0</v>
      </c>
      <c r="W1091">
        <v>7.726212650507529</v>
      </c>
      <c r="X1091">
        <v>0</v>
      </c>
    </row>
    <row r="1092" spans="1:24">
      <c r="A1092" t="s">
        <v>3315</v>
      </c>
      <c r="B1092" t="s">
        <v>3316</v>
      </c>
      <c r="C1092" t="s">
        <v>26</v>
      </c>
      <c r="D1092">
        <v>3.39</v>
      </c>
      <c r="E1092">
        <v>1526</v>
      </c>
      <c r="F1092">
        <v>16</v>
      </c>
      <c r="G1092" t="s">
        <v>36</v>
      </c>
      <c r="H1092" t="s">
        <v>3317</v>
      </c>
      <c r="I1092" t="s">
        <v>29</v>
      </c>
      <c r="J1092" t="s">
        <v>38</v>
      </c>
      <c r="K1092" t="s">
        <v>30</v>
      </c>
      <c r="L1092" t="s">
        <v>30</v>
      </c>
      <c r="M1092" t="s">
        <v>97</v>
      </c>
      <c r="N1092">
        <v>18</v>
      </c>
      <c r="O1092">
        <v>4</v>
      </c>
      <c r="P1092">
        <v>0</v>
      </c>
      <c r="Q1092">
        <v>450.1474926253687</v>
      </c>
      <c r="R1092">
        <v>4.71976401179941</v>
      </c>
      <c r="S1092">
        <v>95.375</v>
      </c>
      <c r="T1092">
        <v>0</v>
      </c>
      <c r="U1092">
        <v>0</v>
      </c>
      <c r="V1092">
        <v>0</v>
      </c>
      <c r="W1092">
        <v>7.331060305218632</v>
      </c>
      <c r="X1092">
        <v>0</v>
      </c>
    </row>
    <row r="1093" spans="1:24">
      <c r="A1093" t="s">
        <v>3318</v>
      </c>
      <c r="B1093" t="s">
        <v>3319</v>
      </c>
      <c r="C1093" t="s">
        <v>35</v>
      </c>
      <c r="D1093">
        <v>1.546</v>
      </c>
      <c r="E1093">
        <v>2121</v>
      </c>
      <c r="F1093">
        <v>18</v>
      </c>
      <c r="G1093" t="s">
        <v>27</v>
      </c>
      <c r="H1093" t="s">
        <v>3320</v>
      </c>
      <c r="I1093" t="s">
        <v>29</v>
      </c>
      <c r="J1093" t="s">
        <v>30</v>
      </c>
      <c r="K1093" t="s">
        <v>30</v>
      </c>
      <c r="L1093" t="s">
        <v>30</v>
      </c>
      <c r="M1093" t="s">
        <v>44</v>
      </c>
      <c r="N1093">
        <v>18</v>
      </c>
      <c r="O1093">
        <v>4</v>
      </c>
      <c r="P1093">
        <v>0</v>
      </c>
      <c r="Q1093">
        <v>1371.927554980595</v>
      </c>
      <c r="R1093">
        <v>11.64294954721863</v>
      </c>
      <c r="S1093">
        <v>117.8333333333333</v>
      </c>
      <c r="T1093">
        <v>0</v>
      </c>
      <c r="U1093">
        <v>0</v>
      </c>
      <c r="V1093">
        <v>0</v>
      </c>
      <c r="W1093">
        <v>7.660114319173928</v>
      </c>
      <c r="X1093">
        <v>0</v>
      </c>
    </row>
    <row r="1094" spans="1:24">
      <c r="A1094" t="s">
        <v>3321</v>
      </c>
      <c r="B1094" t="s">
        <v>3322</v>
      </c>
      <c r="C1094" t="s">
        <v>35</v>
      </c>
      <c r="D1094">
        <v>0.519</v>
      </c>
      <c r="E1094">
        <v>3846</v>
      </c>
      <c r="F1094">
        <v>16</v>
      </c>
      <c r="G1094" t="s">
        <v>62</v>
      </c>
      <c r="H1094" t="s">
        <v>3323</v>
      </c>
      <c r="I1094" t="s">
        <v>29</v>
      </c>
      <c r="J1094" t="s">
        <v>30</v>
      </c>
      <c r="K1094" t="s">
        <v>30</v>
      </c>
      <c r="L1094" t="s">
        <v>31</v>
      </c>
      <c r="M1094" t="s">
        <v>44</v>
      </c>
      <c r="N1094">
        <v>19</v>
      </c>
      <c r="O1094">
        <v>4</v>
      </c>
      <c r="P1094">
        <v>0</v>
      </c>
      <c r="Q1094">
        <v>7410.404624277457</v>
      </c>
      <c r="R1094">
        <v>30.82851637764933</v>
      </c>
      <c r="S1094">
        <v>240.375</v>
      </c>
      <c r="T1094">
        <v>0</v>
      </c>
      <c r="U1094">
        <v>0</v>
      </c>
      <c r="V1094">
        <v>0</v>
      </c>
      <c r="W1094">
        <v>8.255048902752295</v>
      </c>
      <c r="X1094">
        <v>0</v>
      </c>
    </row>
    <row r="1095" spans="1:24">
      <c r="A1095" t="s">
        <v>3324</v>
      </c>
      <c r="B1095" t="s">
        <v>3325</v>
      </c>
      <c r="C1095" t="s">
        <v>35</v>
      </c>
      <c r="D1095">
        <v>1.787</v>
      </c>
      <c r="E1095">
        <v>2855</v>
      </c>
      <c r="F1095">
        <v>17</v>
      </c>
      <c r="G1095" t="s">
        <v>27</v>
      </c>
      <c r="H1095" t="s">
        <v>3326</v>
      </c>
      <c r="I1095" t="s">
        <v>29</v>
      </c>
      <c r="J1095" t="s">
        <v>30</v>
      </c>
      <c r="K1095" t="s">
        <v>30</v>
      </c>
      <c r="L1095" t="s">
        <v>38</v>
      </c>
      <c r="M1095" t="s">
        <v>97</v>
      </c>
      <c r="N1095">
        <v>19</v>
      </c>
      <c r="O1095">
        <v>4</v>
      </c>
      <c r="P1095">
        <v>0</v>
      </c>
      <c r="Q1095">
        <v>1597.649692221601</v>
      </c>
      <c r="R1095">
        <v>9.513150531617235</v>
      </c>
      <c r="S1095">
        <v>167.9411764705882</v>
      </c>
      <c r="T1095">
        <v>0</v>
      </c>
      <c r="U1095">
        <v>0</v>
      </c>
      <c r="V1095">
        <v>0</v>
      </c>
      <c r="W1095">
        <v>7.957177323459475</v>
      </c>
      <c r="X1095">
        <v>0</v>
      </c>
    </row>
    <row r="1096" spans="1:24">
      <c r="A1096" t="s">
        <v>3327</v>
      </c>
      <c r="B1096" t="s">
        <v>3328</v>
      </c>
      <c r="C1096" t="s">
        <v>35</v>
      </c>
      <c r="D1096">
        <v>0.074</v>
      </c>
      <c r="E1096">
        <v>1152</v>
      </c>
      <c r="F1096">
        <v>4</v>
      </c>
      <c r="G1096" t="s">
        <v>36</v>
      </c>
      <c r="H1096" t="s">
        <v>3329</v>
      </c>
      <c r="I1096" t="s">
        <v>90</v>
      </c>
      <c r="J1096" t="s">
        <v>38</v>
      </c>
      <c r="K1096" t="s">
        <v>30</v>
      </c>
      <c r="L1096" t="s">
        <v>30</v>
      </c>
      <c r="M1096" t="s">
        <v>39</v>
      </c>
      <c r="N1096">
        <v>19</v>
      </c>
      <c r="O1096">
        <v>4</v>
      </c>
      <c r="P1096">
        <v>0</v>
      </c>
      <c r="Q1096">
        <v>15567.56756756757</v>
      </c>
      <c r="R1096">
        <v>54.05405405405406</v>
      </c>
      <c r="S1096">
        <v>288</v>
      </c>
      <c r="T1096">
        <v>0</v>
      </c>
      <c r="U1096">
        <v>0</v>
      </c>
      <c r="V1096">
        <v>0</v>
      </c>
      <c r="W1096">
        <v>7.050122520269059</v>
      </c>
      <c r="X1096">
        <v>1</v>
      </c>
    </row>
    <row r="1097" spans="1:24">
      <c r="A1097" t="s">
        <v>3330</v>
      </c>
      <c r="B1097" t="s">
        <v>3331</v>
      </c>
      <c r="C1097" t="s">
        <v>35</v>
      </c>
      <c r="D1097">
        <v>9.077</v>
      </c>
      <c r="E1097">
        <v>2785</v>
      </c>
      <c r="F1097">
        <v>14</v>
      </c>
      <c r="G1097" t="s">
        <v>27</v>
      </c>
      <c r="H1097" t="s">
        <v>3332</v>
      </c>
      <c r="I1097" t="s">
        <v>29</v>
      </c>
      <c r="J1097" t="s">
        <v>30</v>
      </c>
      <c r="K1097" t="s">
        <v>30</v>
      </c>
      <c r="L1097" t="s">
        <v>31</v>
      </c>
      <c r="M1097" t="s">
        <v>44</v>
      </c>
      <c r="N1097">
        <v>19</v>
      </c>
      <c r="O1097">
        <v>4</v>
      </c>
      <c r="P1097">
        <v>0</v>
      </c>
      <c r="Q1097">
        <v>306.8194337336124</v>
      </c>
      <c r="R1097">
        <v>1.54235981051008</v>
      </c>
      <c r="S1097">
        <v>198.9285714285714</v>
      </c>
      <c r="T1097">
        <v>0</v>
      </c>
      <c r="U1097">
        <v>0</v>
      </c>
      <c r="V1097">
        <v>0</v>
      </c>
      <c r="W1097">
        <v>7.932362154339751</v>
      </c>
      <c r="X1097">
        <v>0</v>
      </c>
    </row>
    <row r="1098" spans="1:24">
      <c r="A1098" t="s">
        <v>3333</v>
      </c>
      <c r="B1098" t="s">
        <v>3334</v>
      </c>
      <c r="C1098" t="s">
        <v>35</v>
      </c>
      <c r="D1098">
        <v>0.183</v>
      </c>
      <c r="E1098">
        <v>9062</v>
      </c>
      <c r="F1098">
        <v>4</v>
      </c>
      <c r="G1098" t="s">
        <v>36</v>
      </c>
      <c r="H1098" t="s">
        <v>3335</v>
      </c>
      <c r="I1098" t="s">
        <v>90</v>
      </c>
      <c r="J1098" t="s">
        <v>38</v>
      </c>
      <c r="K1098" t="s">
        <v>30</v>
      </c>
      <c r="L1098" t="s">
        <v>30</v>
      </c>
      <c r="M1098" t="s">
        <v>97</v>
      </c>
      <c r="N1098">
        <v>19</v>
      </c>
      <c r="O1098">
        <v>4</v>
      </c>
      <c r="P1098">
        <v>0</v>
      </c>
      <c r="Q1098">
        <v>49519.12568306011</v>
      </c>
      <c r="R1098">
        <v>21.85792349726776</v>
      </c>
      <c r="S1098">
        <v>2265.5</v>
      </c>
      <c r="T1098">
        <v>0</v>
      </c>
      <c r="U1098">
        <v>0</v>
      </c>
      <c r="V1098">
        <v>0</v>
      </c>
      <c r="W1098">
        <v>9.111955470054779</v>
      </c>
      <c r="X1098">
        <v>1</v>
      </c>
    </row>
    <row r="1099" spans="1:24">
      <c r="A1099" t="s">
        <v>3336</v>
      </c>
      <c r="B1099" t="s">
        <v>3337</v>
      </c>
      <c r="C1099" t="s">
        <v>52</v>
      </c>
      <c r="D1099">
        <v>2.469</v>
      </c>
      <c r="E1099">
        <v>1907</v>
      </c>
      <c r="F1099">
        <v>12</v>
      </c>
      <c r="G1099" t="s">
        <v>62</v>
      </c>
      <c r="H1099" t="s">
        <v>3338</v>
      </c>
      <c r="I1099" t="s">
        <v>29</v>
      </c>
      <c r="J1099" t="s">
        <v>30</v>
      </c>
      <c r="K1099" t="s">
        <v>30</v>
      </c>
      <c r="L1099" t="s">
        <v>30</v>
      </c>
      <c r="M1099" t="s">
        <v>32</v>
      </c>
      <c r="N1099">
        <v>19</v>
      </c>
      <c r="O1099">
        <v>4</v>
      </c>
      <c r="P1099">
        <v>0</v>
      </c>
      <c r="Q1099">
        <v>772.3774807614419</v>
      </c>
      <c r="R1099">
        <v>4.860267314702309</v>
      </c>
      <c r="S1099">
        <v>158.9166666666667</v>
      </c>
      <c r="T1099">
        <v>0</v>
      </c>
      <c r="U1099">
        <v>0</v>
      </c>
      <c r="V1099">
        <v>0</v>
      </c>
      <c r="W1099">
        <v>7.553810852008231</v>
      </c>
      <c r="X1099">
        <v>0</v>
      </c>
    </row>
    <row r="1100" spans="1:24">
      <c r="A1100" t="s">
        <v>3339</v>
      </c>
      <c r="B1100" t="s">
        <v>3340</v>
      </c>
      <c r="C1100" t="s">
        <v>35</v>
      </c>
      <c r="D1100">
        <v>1.387</v>
      </c>
      <c r="E1100">
        <v>1064</v>
      </c>
      <c r="F1100">
        <v>14</v>
      </c>
      <c r="G1100" t="s">
        <v>47</v>
      </c>
      <c r="H1100" t="s">
        <v>3341</v>
      </c>
      <c r="I1100" t="s">
        <v>29</v>
      </c>
      <c r="J1100" t="s">
        <v>31</v>
      </c>
      <c r="K1100" t="s">
        <v>30</v>
      </c>
      <c r="L1100" t="s">
        <v>30</v>
      </c>
      <c r="M1100" t="s">
        <v>97</v>
      </c>
      <c r="N1100">
        <v>19</v>
      </c>
      <c r="O1100">
        <v>4</v>
      </c>
      <c r="P1100">
        <v>0</v>
      </c>
      <c r="Q1100">
        <v>767.1232876712329</v>
      </c>
      <c r="R1100">
        <v>10.09372746935833</v>
      </c>
      <c r="S1100">
        <v>76</v>
      </c>
      <c r="T1100">
        <v>0</v>
      </c>
      <c r="U1100">
        <v>0</v>
      </c>
      <c r="V1100">
        <v>0</v>
      </c>
      <c r="W1100">
        <v>6.970730078143525</v>
      </c>
      <c r="X1100">
        <v>0</v>
      </c>
    </row>
    <row r="1101" spans="1:24">
      <c r="A1101" t="s">
        <v>3342</v>
      </c>
      <c r="B1101" t="s">
        <v>3343</v>
      </c>
      <c r="C1101" t="s">
        <v>26</v>
      </c>
      <c r="D1101">
        <v>2.419</v>
      </c>
      <c r="E1101">
        <v>5012</v>
      </c>
      <c r="F1101">
        <v>17</v>
      </c>
      <c r="G1101" t="s">
        <v>27</v>
      </c>
      <c r="H1101" t="s">
        <v>3344</v>
      </c>
      <c r="I1101" t="s">
        <v>29</v>
      </c>
      <c r="J1101" t="s">
        <v>30</v>
      </c>
      <c r="K1101" t="s">
        <v>31</v>
      </c>
      <c r="L1101" t="s">
        <v>30</v>
      </c>
      <c r="M1101" t="s">
        <v>97</v>
      </c>
      <c r="N1101">
        <v>19</v>
      </c>
      <c r="O1101">
        <v>4</v>
      </c>
      <c r="P1101">
        <v>0</v>
      </c>
      <c r="Q1101">
        <v>2071.930549813973</v>
      </c>
      <c r="R1101">
        <v>7.027697395618024</v>
      </c>
      <c r="S1101">
        <v>294.8235294117647</v>
      </c>
      <c r="T1101">
        <v>0</v>
      </c>
      <c r="U1101">
        <v>0</v>
      </c>
      <c r="V1101">
        <v>0</v>
      </c>
      <c r="W1101">
        <v>8.519789817263504</v>
      </c>
      <c r="X1101">
        <v>0</v>
      </c>
    </row>
    <row r="1102" spans="1:24">
      <c r="A1102" t="s">
        <v>3345</v>
      </c>
      <c r="B1102" t="s">
        <v>3346</v>
      </c>
      <c r="C1102" t="s">
        <v>26</v>
      </c>
      <c r="D1102">
        <v>2.92</v>
      </c>
      <c r="E1102">
        <v>3341</v>
      </c>
      <c r="F1102">
        <v>20</v>
      </c>
      <c r="G1102" t="s">
        <v>36</v>
      </c>
      <c r="H1102" t="s">
        <v>3347</v>
      </c>
      <c r="I1102" t="s">
        <v>29</v>
      </c>
      <c r="J1102" t="s">
        <v>38</v>
      </c>
      <c r="K1102" t="s">
        <v>31</v>
      </c>
      <c r="L1102" t="s">
        <v>31</v>
      </c>
      <c r="M1102" t="s">
        <v>44</v>
      </c>
      <c r="N1102">
        <v>19</v>
      </c>
      <c r="O1102">
        <v>4</v>
      </c>
      <c r="P1102">
        <v>0</v>
      </c>
      <c r="Q1102">
        <v>1144.178082191781</v>
      </c>
      <c r="R1102">
        <v>6.849315068493151</v>
      </c>
      <c r="S1102">
        <v>167.05</v>
      </c>
      <c r="T1102">
        <v>0</v>
      </c>
      <c r="U1102">
        <v>0</v>
      </c>
      <c r="V1102">
        <v>0</v>
      </c>
      <c r="W1102">
        <v>8.114324709155339</v>
      </c>
      <c r="X1102">
        <v>0</v>
      </c>
    </row>
    <row r="1103" spans="1:24">
      <c r="A1103" t="s">
        <v>3348</v>
      </c>
      <c r="B1103" t="s">
        <v>3349</v>
      </c>
      <c r="C1103" t="s">
        <v>26</v>
      </c>
      <c r="D1103">
        <v>6.266</v>
      </c>
      <c r="E1103">
        <v>2528</v>
      </c>
      <c r="F1103">
        <v>21</v>
      </c>
      <c r="G1103" t="s">
        <v>47</v>
      </c>
      <c r="H1103" t="s">
        <v>3350</v>
      </c>
      <c r="I1103" t="s">
        <v>29</v>
      </c>
      <c r="J1103" t="s">
        <v>31</v>
      </c>
      <c r="K1103" t="s">
        <v>31</v>
      </c>
      <c r="L1103" t="s">
        <v>30</v>
      </c>
      <c r="M1103" t="s">
        <v>76</v>
      </c>
      <c r="N1103">
        <v>19</v>
      </c>
      <c r="O1103">
        <v>4</v>
      </c>
      <c r="P1103">
        <v>0</v>
      </c>
      <c r="Q1103">
        <v>403.4471752314076</v>
      </c>
      <c r="R1103">
        <v>3.351420363868497</v>
      </c>
      <c r="S1103">
        <v>120.3809523809524</v>
      </c>
      <c r="T1103">
        <v>0</v>
      </c>
      <c r="U1103">
        <v>0</v>
      </c>
      <c r="V1103">
        <v>0</v>
      </c>
      <c r="W1103">
        <v>7.835579246669965</v>
      </c>
      <c r="X1103">
        <v>0</v>
      </c>
    </row>
    <row r="1104" spans="1:24">
      <c r="A1104" t="s">
        <v>3351</v>
      </c>
      <c r="B1104" t="s">
        <v>3352</v>
      </c>
      <c r="C1104" t="s">
        <v>35</v>
      </c>
      <c r="D1104">
        <v>2.973</v>
      </c>
      <c r="E1104">
        <v>436</v>
      </c>
      <c r="F1104">
        <v>27</v>
      </c>
      <c r="G1104" t="s">
        <v>36</v>
      </c>
      <c r="H1104" t="s">
        <v>3353</v>
      </c>
      <c r="I1104" t="s">
        <v>29</v>
      </c>
      <c r="J1104" t="s">
        <v>38</v>
      </c>
      <c r="K1104" t="s">
        <v>31</v>
      </c>
      <c r="L1104" t="s">
        <v>31</v>
      </c>
      <c r="M1104" t="s">
        <v>97</v>
      </c>
      <c r="N1104">
        <v>19</v>
      </c>
      <c r="O1104">
        <v>4</v>
      </c>
      <c r="P1104">
        <v>0</v>
      </c>
      <c r="Q1104">
        <v>146.6532122435251</v>
      </c>
      <c r="R1104">
        <v>9.081735620585269</v>
      </c>
      <c r="S1104">
        <v>16.14814814814815</v>
      </c>
      <c r="T1104">
        <v>0</v>
      </c>
      <c r="U1104">
        <v>0</v>
      </c>
      <c r="V1104">
        <v>0</v>
      </c>
      <c r="W1104">
        <v>6.07993319509559</v>
      </c>
      <c r="X1104">
        <v>0</v>
      </c>
    </row>
    <row r="1105" spans="1:24">
      <c r="A1105" t="s">
        <v>3354</v>
      </c>
      <c r="B1105" t="s">
        <v>3355</v>
      </c>
      <c r="C1105" t="s">
        <v>35</v>
      </c>
      <c r="D1105">
        <v>0.238</v>
      </c>
      <c r="E1105">
        <v>6705</v>
      </c>
      <c r="F1105">
        <v>18</v>
      </c>
      <c r="G1105" t="s">
        <v>62</v>
      </c>
      <c r="H1105" t="s">
        <v>3356</v>
      </c>
      <c r="I1105" t="s">
        <v>29</v>
      </c>
      <c r="J1105" t="s">
        <v>30</v>
      </c>
      <c r="K1105" t="s">
        <v>30</v>
      </c>
      <c r="L1105" t="s">
        <v>31</v>
      </c>
      <c r="M1105" t="s">
        <v>44</v>
      </c>
      <c r="N1105">
        <v>19</v>
      </c>
      <c r="O1105">
        <v>4</v>
      </c>
      <c r="P1105">
        <v>0</v>
      </c>
      <c r="Q1105">
        <v>28172.26890756302</v>
      </c>
      <c r="R1105">
        <v>75.63025210084034</v>
      </c>
      <c r="S1105">
        <v>372.5</v>
      </c>
      <c r="T1105">
        <v>0</v>
      </c>
      <c r="U1105">
        <v>0</v>
      </c>
      <c r="V1105">
        <v>0</v>
      </c>
      <c r="W1105">
        <v>8.810757927026174</v>
      </c>
      <c r="X1105">
        <v>0</v>
      </c>
    </row>
    <row r="1106" spans="1:24">
      <c r="A1106" t="s">
        <v>3357</v>
      </c>
      <c r="B1106" t="s">
        <v>3358</v>
      </c>
      <c r="C1106" t="s">
        <v>26</v>
      </c>
      <c r="D1106">
        <v>1.558</v>
      </c>
      <c r="E1106">
        <v>4928</v>
      </c>
      <c r="F1106">
        <v>22</v>
      </c>
      <c r="G1106" t="s">
        <v>27</v>
      </c>
      <c r="H1106" t="s">
        <v>3359</v>
      </c>
      <c r="I1106" t="s">
        <v>29</v>
      </c>
      <c r="J1106" t="s">
        <v>30</v>
      </c>
      <c r="K1106" t="s">
        <v>30</v>
      </c>
      <c r="L1106" t="s">
        <v>30</v>
      </c>
      <c r="M1106" t="s">
        <v>39</v>
      </c>
      <c r="N1106">
        <v>20</v>
      </c>
      <c r="O1106">
        <v>4</v>
      </c>
      <c r="P1106">
        <v>0</v>
      </c>
      <c r="Q1106">
        <v>3163.029525032092</v>
      </c>
      <c r="R1106">
        <v>14.1206675224647</v>
      </c>
      <c r="S1106">
        <v>224</v>
      </c>
      <c r="T1106">
        <v>0</v>
      </c>
      <c r="U1106">
        <v>0</v>
      </c>
      <c r="V1106">
        <v>0</v>
      </c>
      <c r="W1106">
        <v>8.502891406705377</v>
      </c>
      <c r="X1106">
        <v>0</v>
      </c>
    </row>
    <row r="1107" spans="1:24">
      <c r="A1107" t="s">
        <v>3360</v>
      </c>
      <c r="B1107" t="s">
        <v>3361</v>
      </c>
      <c r="C1107" t="s">
        <v>26</v>
      </c>
      <c r="D1107">
        <v>0.36</v>
      </c>
      <c r="E1107">
        <v>2951</v>
      </c>
      <c r="F1107">
        <v>18</v>
      </c>
      <c r="G1107" t="s">
        <v>36</v>
      </c>
      <c r="H1107" t="s">
        <v>3362</v>
      </c>
      <c r="I1107" t="s">
        <v>29</v>
      </c>
      <c r="J1107" t="s">
        <v>38</v>
      </c>
      <c r="K1107" t="s">
        <v>30</v>
      </c>
      <c r="L1107" t="s">
        <v>30</v>
      </c>
      <c r="M1107" t="s">
        <v>76</v>
      </c>
      <c r="N1107">
        <v>20</v>
      </c>
      <c r="O1107">
        <v>4</v>
      </c>
      <c r="P1107">
        <v>0</v>
      </c>
      <c r="Q1107">
        <v>8197.222222222223</v>
      </c>
      <c r="R1107">
        <v>50</v>
      </c>
      <c r="S1107">
        <v>163.9444444444445</v>
      </c>
      <c r="T1107">
        <v>0</v>
      </c>
      <c r="U1107">
        <v>0</v>
      </c>
      <c r="V1107">
        <v>0</v>
      </c>
      <c r="W1107">
        <v>7.990238185720363</v>
      </c>
      <c r="X1107">
        <v>0</v>
      </c>
    </row>
    <row r="1108" spans="1:24">
      <c r="A1108" t="s">
        <v>3363</v>
      </c>
      <c r="B1108" t="s">
        <v>3364</v>
      </c>
      <c r="C1108" t="s">
        <v>26</v>
      </c>
      <c r="D1108">
        <v>4.702</v>
      </c>
      <c r="E1108">
        <v>2723</v>
      </c>
      <c r="F1108">
        <v>10</v>
      </c>
      <c r="G1108" t="s">
        <v>62</v>
      </c>
      <c r="H1108" t="s">
        <v>3365</v>
      </c>
      <c r="I1108" t="s">
        <v>29</v>
      </c>
      <c r="J1108" t="s">
        <v>30</v>
      </c>
      <c r="K1108" t="s">
        <v>31</v>
      </c>
      <c r="L1108" t="s">
        <v>31</v>
      </c>
      <c r="M1108" t="s">
        <v>76</v>
      </c>
      <c r="N1108">
        <v>20</v>
      </c>
      <c r="O1108">
        <v>4</v>
      </c>
      <c r="P1108">
        <v>0</v>
      </c>
      <c r="Q1108">
        <v>579.1152700978307</v>
      </c>
      <c r="R1108">
        <v>2.126754572522331</v>
      </c>
      <c r="S1108">
        <v>272.3</v>
      </c>
      <c r="T1108">
        <v>0</v>
      </c>
      <c r="U1108">
        <v>0</v>
      </c>
      <c r="V1108">
        <v>0</v>
      </c>
      <c r="W1108">
        <v>7.909856667269403</v>
      </c>
      <c r="X1108">
        <v>0</v>
      </c>
    </row>
    <row r="1109" spans="1:24">
      <c r="A1109" t="s">
        <v>3366</v>
      </c>
      <c r="B1109" t="s">
        <v>3367</v>
      </c>
      <c r="C1109" t="s">
        <v>35</v>
      </c>
      <c r="D1109">
        <v>2.191</v>
      </c>
      <c r="E1109">
        <v>7563</v>
      </c>
      <c r="F1109">
        <v>19</v>
      </c>
      <c r="G1109" t="s">
        <v>36</v>
      </c>
      <c r="H1109" t="s">
        <v>3368</v>
      </c>
      <c r="I1109" t="s">
        <v>29</v>
      </c>
      <c r="J1109" t="s">
        <v>38</v>
      </c>
      <c r="K1109" t="s">
        <v>38</v>
      </c>
      <c r="L1109" t="s">
        <v>30</v>
      </c>
      <c r="M1109" t="s">
        <v>97</v>
      </c>
      <c r="N1109">
        <v>20</v>
      </c>
      <c r="O1109">
        <v>4</v>
      </c>
      <c r="P1109">
        <v>0</v>
      </c>
      <c r="Q1109">
        <v>3451.8484710178</v>
      </c>
      <c r="R1109">
        <v>8.67183934276586</v>
      </c>
      <c r="S1109">
        <v>398.0526315789473</v>
      </c>
      <c r="T1109">
        <v>0</v>
      </c>
      <c r="U1109">
        <v>0</v>
      </c>
      <c r="V1109">
        <v>0</v>
      </c>
      <c r="W1109">
        <v>8.931155429778348</v>
      </c>
      <c r="X1109">
        <v>0</v>
      </c>
    </row>
    <row r="1110" spans="1:24">
      <c r="A1110" t="s">
        <v>3369</v>
      </c>
      <c r="B1110" t="s">
        <v>3370</v>
      </c>
      <c r="C1110" t="s">
        <v>35</v>
      </c>
      <c r="D1110">
        <v>4.482</v>
      </c>
      <c r="E1110">
        <v>1875</v>
      </c>
      <c r="F1110">
        <v>20</v>
      </c>
      <c r="G1110" t="s">
        <v>27</v>
      </c>
      <c r="H1110" t="s">
        <v>3371</v>
      </c>
      <c r="I1110" t="s">
        <v>29</v>
      </c>
      <c r="J1110" t="s">
        <v>30</v>
      </c>
      <c r="K1110" t="s">
        <v>30</v>
      </c>
      <c r="L1110" t="s">
        <v>31</v>
      </c>
      <c r="M1110" t="s">
        <v>44</v>
      </c>
      <c r="N1110">
        <v>20</v>
      </c>
      <c r="O1110">
        <v>4</v>
      </c>
      <c r="P1110">
        <v>0</v>
      </c>
      <c r="Q1110">
        <v>418.3400267737617</v>
      </c>
      <c r="R1110">
        <v>4.462293618920125</v>
      </c>
      <c r="S1110">
        <v>93.75</v>
      </c>
      <c r="T1110">
        <v>0</v>
      </c>
      <c r="U1110">
        <v>0</v>
      </c>
      <c r="V1110">
        <v>0</v>
      </c>
      <c r="W1110">
        <v>7.53689712956617</v>
      </c>
      <c r="X1110">
        <v>0</v>
      </c>
    </row>
    <row r="1111" spans="1:24">
      <c r="A1111" t="s">
        <v>3372</v>
      </c>
      <c r="B1111" t="s">
        <v>3373</v>
      </c>
      <c r="C1111" t="s">
        <v>35</v>
      </c>
      <c r="D1111">
        <v>5.446</v>
      </c>
      <c r="E1111">
        <v>2862</v>
      </c>
      <c r="F1111">
        <v>22</v>
      </c>
      <c r="G1111" t="s">
        <v>27</v>
      </c>
      <c r="H1111" t="s">
        <v>3374</v>
      </c>
      <c r="I1111" t="s">
        <v>29</v>
      </c>
      <c r="J1111" t="s">
        <v>30</v>
      </c>
      <c r="K1111" t="s">
        <v>38</v>
      </c>
      <c r="L1111" t="s">
        <v>30</v>
      </c>
      <c r="M1111" t="s">
        <v>44</v>
      </c>
      <c r="N1111">
        <v>20</v>
      </c>
      <c r="O1111">
        <v>4</v>
      </c>
      <c r="P1111">
        <v>0</v>
      </c>
      <c r="Q1111">
        <v>525.5233198677929</v>
      </c>
      <c r="R1111">
        <v>4.039662137348513</v>
      </c>
      <c r="S1111">
        <v>130.0909090909091</v>
      </c>
      <c r="T1111">
        <v>0</v>
      </c>
      <c r="U1111">
        <v>0</v>
      </c>
      <c r="V1111">
        <v>0</v>
      </c>
      <c r="W1111">
        <v>7.959625305098115</v>
      </c>
      <c r="X1111">
        <v>0</v>
      </c>
    </row>
    <row r="1112" spans="1:24">
      <c r="A1112" t="s">
        <v>3375</v>
      </c>
      <c r="B1112" t="s">
        <v>3376</v>
      </c>
      <c r="C1112" t="s">
        <v>26</v>
      </c>
      <c r="D1112">
        <v>0.607</v>
      </c>
      <c r="E1112">
        <v>1737</v>
      </c>
      <c r="F1112">
        <v>19</v>
      </c>
      <c r="G1112" t="s">
        <v>36</v>
      </c>
      <c r="H1112" t="s">
        <v>3377</v>
      </c>
      <c r="I1112" t="s">
        <v>29</v>
      </c>
      <c r="J1112" t="s">
        <v>38</v>
      </c>
      <c r="K1112" t="s">
        <v>31</v>
      </c>
      <c r="L1112" t="s">
        <v>38</v>
      </c>
      <c r="M1112" t="s">
        <v>44</v>
      </c>
      <c r="N1112">
        <v>20</v>
      </c>
      <c r="O1112">
        <v>4</v>
      </c>
      <c r="P1112">
        <v>0</v>
      </c>
      <c r="Q1112">
        <v>2861.61449752883</v>
      </c>
      <c r="R1112">
        <v>31.30148270181219</v>
      </c>
      <c r="S1112">
        <v>91.42105263157896</v>
      </c>
      <c r="T1112">
        <v>0</v>
      </c>
      <c r="U1112">
        <v>0</v>
      </c>
      <c r="V1112">
        <v>0</v>
      </c>
      <c r="W1112">
        <v>7.460490305825338</v>
      </c>
      <c r="X1112">
        <v>0</v>
      </c>
    </row>
    <row r="1113" spans="1:24">
      <c r="A1113" t="s">
        <v>3378</v>
      </c>
      <c r="B1113" t="s">
        <v>3379</v>
      </c>
      <c r="C1113" t="s">
        <v>26</v>
      </c>
      <c r="D1113">
        <v>1.952</v>
      </c>
      <c r="E1113">
        <v>2175</v>
      </c>
      <c r="F1113">
        <v>15</v>
      </c>
      <c r="G1113" t="s">
        <v>36</v>
      </c>
      <c r="H1113" t="s">
        <v>3380</v>
      </c>
      <c r="I1113" t="s">
        <v>29</v>
      </c>
      <c r="J1113" t="s">
        <v>38</v>
      </c>
      <c r="K1113" t="s">
        <v>30</v>
      </c>
      <c r="L1113" t="s">
        <v>30</v>
      </c>
      <c r="M1113" t="s">
        <v>44</v>
      </c>
      <c r="N1113">
        <v>20</v>
      </c>
      <c r="O1113">
        <v>4</v>
      </c>
      <c r="P1113">
        <v>0</v>
      </c>
      <c r="Q1113">
        <v>1114.241803278689</v>
      </c>
      <c r="R1113">
        <v>7.684426229508197</v>
      </c>
      <c r="S1113">
        <v>145</v>
      </c>
      <c r="T1113">
        <v>0</v>
      </c>
      <c r="U1113">
        <v>0</v>
      </c>
      <c r="V1113">
        <v>0</v>
      </c>
      <c r="W1113">
        <v>7.685243607975833</v>
      </c>
      <c r="X1113">
        <v>0</v>
      </c>
    </row>
    <row r="1114" spans="1:24">
      <c r="A1114" t="s">
        <v>3381</v>
      </c>
      <c r="B1114" t="s">
        <v>3382</v>
      </c>
      <c r="C1114" t="s">
        <v>35</v>
      </c>
      <c r="D1114">
        <v>0.43</v>
      </c>
      <c r="E1114">
        <v>787</v>
      </c>
      <c r="F1114">
        <v>18</v>
      </c>
      <c r="G1114" t="s">
        <v>47</v>
      </c>
      <c r="H1114" t="s">
        <v>3383</v>
      </c>
      <c r="I1114" t="s">
        <v>29</v>
      </c>
      <c r="J1114" t="s">
        <v>31</v>
      </c>
      <c r="K1114" t="s">
        <v>30</v>
      </c>
      <c r="L1114" t="s">
        <v>38</v>
      </c>
      <c r="M1114" t="s">
        <v>39</v>
      </c>
      <c r="N1114">
        <v>20</v>
      </c>
      <c r="O1114">
        <v>4</v>
      </c>
      <c r="P1114">
        <v>0</v>
      </c>
      <c r="Q1114">
        <v>1830.232558139535</v>
      </c>
      <c r="R1114">
        <v>41.86046511627907</v>
      </c>
      <c r="S1114">
        <v>43.72222222222222</v>
      </c>
      <c r="T1114">
        <v>0</v>
      </c>
      <c r="U1114">
        <v>0</v>
      </c>
      <c r="V1114">
        <v>0</v>
      </c>
      <c r="W1114">
        <v>6.669498089857879</v>
      </c>
      <c r="X1114">
        <v>0</v>
      </c>
    </row>
    <row r="1115" spans="1:24">
      <c r="A1115" t="s">
        <v>3384</v>
      </c>
      <c r="B1115" t="s">
        <v>3385</v>
      </c>
      <c r="C1115" t="s">
        <v>35</v>
      </c>
      <c r="D1115">
        <v>1.277</v>
      </c>
      <c r="E1115">
        <v>1914</v>
      </c>
      <c r="F1115">
        <v>18</v>
      </c>
      <c r="G1115" t="s">
        <v>27</v>
      </c>
      <c r="H1115" t="s">
        <v>3386</v>
      </c>
      <c r="I1115" t="s">
        <v>29</v>
      </c>
      <c r="J1115" t="s">
        <v>30</v>
      </c>
      <c r="K1115" t="s">
        <v>38</v>
      </c>
      <c r="L1115" t="s">
        <v>30</v>
      </c>
      <c r="M1115" t="s">
        <v>97</v>
      </c>
      <c r="N1115">
        <v>20</v>
      </c>
      <c r="O1115">
        <v>4</v>
      </c>
      <c r="P1115">
        <v>0</v>
      </c>
      <c r="Q1115">
        <v>1498.825371965544</v>
      </c>
      <c r="R1115">
        <v>14.09553641346907</v>
      </c>
      <c r="S1115">
        <v>106.3333333333333</v>
      </c>
      <c r="T1115">
        <v>0</v>
      </c>
      <c r="U1115">
        <v>0</v>
      </c>
      <c r="V1115">
        <v>0</v>
      </c>
      <c r="W1115">
        <v>7.557472901614746</v>
      </c>
      <c r="X1115">
        <v>0</v>
      </c>
    </row>
    <row r="1116" spans="1:24">
      <c r="A1116" t="s">
        <v>3387</v>
      </c>
      <c r="B1116" t="s">
        <v>3388</v>
      </c>
      <c r="C1116" t="s">
        <v>26</v>
      </c>
      <c r="D1116">
        <v>2.506</v>
      </c>
      <c r="E1116">
        <v>4088</v>
      </c>
      <c r="F1116">
        <v>26</v>
      </c>
      <c r="G1116" t="s">
        <v>62</v>
      </c>
      <c r="H1116" t="s">
        <v>3389</v>
      </c>
      <c r="I1116" t="s">
        <v>29</v>
      </c>
      <c r="J1116" t="s">
        <v>30</v>
      </c>
      <c r="K1116" t="s">
        <v>30</v>
      </c>
      <c r="L1116" t="s">
        <v>30</v>
      </c>
      <c r="M1116" t="s">
        <v>44</v>
      </c>
      <c r="N1116">
        <v>20</v>
      </c>
      <c r="O1116">
        <v>4</v>
      </c>
      <c r="P1116">
        <v>0</v>
      </c>
      <c r="Q1116">
        <v>1631.284916201118</v>
      </c>
      <c r="R1116">
        <v>10.37509976057462</v>
      </c>
      <c r="S1116">
        <v>157.2307692307692</v>
      </c>
      <c r="T1116">
        <v>0</v>
      </c>
      <c r="U1116">
        <v>0</v>
      </c>
      <c r="V1116">
        <v>0</v>
      </c>
      <c r="W1116">
        <v>8.316055720364643</v>
      </c>
      <c r="X1116">
        <v>0</v>
      </c>
    </row>
    <row r="1117" spans="1:24">
      <c r="A1117" t="s">
        <v>3390</v>
      </c>
      <c r="B1117" t="s">
        <v>3391</v>
      </c>
      <c r="C1117" t="s">
        <v>130</v>
      </c>
      <c r="D1117">
        <v>2.001</v>
      </c>
      <c r="E1117">
        <v>3316</v>
      </c>
      <c r="F1117">
        <v>17</v>
      </c>
      <c r="G1117" t="s">
        <v>27</v>
      </c>
      <c r="H1117" t="s">
        <v>3392</v>
      </c>
      <c r="I1117" t="s">
        <v>29</v>
      </c>
      <c r="J1117" t="s">
        <v>30</v>
      </c>
      <c r="K1117" t="s">
        <v>30</v>
      </c>
      <c r="L1117" t="s">
        <v>31</v>
      </c>
      <c r="M1117" t="s">
        <v>97</v>
      </c>
      <c r="N1117">
        <v>20</v>
      </c>
      <c r="O1117">
        <v>4</v>
      </c>
      <c r="P1117">
        <v>0</v>
      </c>
      <c r="Q1117">
        <v>1657.171414292854</v>
      </c>
      <c r="R1117">
        <v>8.495752123938031</v>
      </c>
      <c r="S1117">
        <v>195.0588235294118</v>
      </c>
      <c r="T1117">
        <v>0</v>
      </c>
      <c r="U1117">
        <v>0</v>
      </c>
      <c r="V1117">
        <v>0</v>
      </c>
      <c r="W1117">
        <v>8.106816038947052</v>
      </c>
      <c r="X1117">
        <v>0</v>
      </c>
    </row>
    <row r="1118" spans="1:24">
      <c r="A1118" t="s">
        <v>3393</v>
      </c>
      <c r="B1118" t="s">
        <v>3394</v>
      </c>
      <c r="C1118" t="s">
        <v>35</v>
      </c>
      <c r="D1118">
        <v>0.616</v>
      </c>
      <c r="E1118">
        <v>458</v>
      </c>
      <c r="F1118">
        <v>20</v>
      </c>
      <c r="G1118" t="s">
        <v>47</v>
      </c>
      <c r="H1118" t="s">
        <v>3395</v>
      </c>
      <c r="I1118" t="s">
        <v>29</v>
      </c>
      <c r="J1118" t="s">
        <v>31</v>
      </c>
      <c r="K1118" t="s">
        <v>30</v>
      </c>
      <c r="L1118" t="s">
        <v>31</v>
      </c>
      <c r="M1118" t="s">
        <v>83</v>
      </c>
      <c r="N1118">
        <v>21</v>
      </c>
      <c r="O1118">
        <v>4</v>
      </c>
      <c r="P1118">
        <v>0</v>
      </c>
      <c r="Q1118">
        <v>743.5064935064935</v>
      </c>
      <c r="R1118">
        <v>32.46753246753246</v>
      </c>
      <c r="S1118">
        <v>22.9</v>
      </c>
      <c r="T1118">
        <v>0</v>
      </c>
      <c r="U1118">
        <v>0</v>
      </c>
      <c r="V1118">
        <v>0</v>
      </c>
      <c r="W1118">
        <v>6.129050210060545</v>
      </c>
      <c r="X1118">
        <v>0</v>
      </c>
    </row>
    <row r="1119" spans="1:24">
      <c r="A1119" t="s">
        <v>3396</v>
      </c>
      <c r="B1119" t="s">
        <v>3397</v>
      </c>
      <c r="C1119" t="s">
        <v>35</v>
      </c>
      <c r="D1119">
        <v>5.96</v>
      </c>
      <c r="E1119">
        <v>1880</v>
      </c>
      <c r="F1119">
        <v>18</v>
      </c>
      <c r="G1119" t="s">
        <v>62</v>
      </c>
      <c r="H1119" t="s">
        <v>3398</v>
      </c>
      <c r="I1119" t="s">
        <v>29</v>
      </c>
      <c r="J1119" t="s">
        <v>30</v>
      </c>
      <c r="K1119" t="s">
        <v>30</v>
      </c>
      <c r="L1119" t="s">
        <v>30</v>
      </c>
      <c r="M1119" t="s">
        <v>83</v>
      </c>
      <c r="N1119">
        <v>21</v>
      </c>
      <c r="O1119">
        <v>4</v>
      </c>
      <c r="P1119">
        <v>0</v>
      </c>
      <c r="Q1119">
        <v>315.4362416107383</v>
      </c>
      <c r="R1119">
        <v>3.02013422818792</v>
      </c>
      <c r="S1119">
        <v>104.4444444444444</v>
      </c>
      <c r="T1119">
        <v>0</v>
      </c>
      <c r="U1119">
        <v>0</v>
      </c>
      <c r="V1119">
        <v>0</v>
      </c>
      <c r="W1119">
        <v>7.53955882930103</v>
      </c>
      <c r="X1119">
        <v>0</v>
      </c>
    </row>
    <row r="1120" spans="1:24">
      <c r="A1120" t="s">
        <v>3399</v>
      </c>
      <c r="B1120" t="s">
        <v>3400</v>
      </c>
      <c r="C1120" t="s">
        <v>35</v>
      </c>
      <c r="D1120">
        <v>2.156</v>
      </c>
      <c r="E1120">
        <v>1855</v>
      </c>
      <c r="F1120">
        <v>15</v>
      </c>
      <c r="G1120" t="s">
        <v>47</v>
      </c>
      <c r="H1120" t="s">
        <v>3401</v>
      </c>
      <c r="I1120" t="s">
        <v>29</v>
      </c>
      <c r="J1120" t="s">
        <v>31</v>
      </c>
      <c r="K1120" t="s">
        <v>30</v>
      </c>
      <c r="L1120" t="s">
        <v>31</v>
      </c>
      <c r="M1120" t="s">
        <v>76</v>
      </c>
      <c r="N1120">
        <v>21</v>
      </c>
      <c r="O1120">
        <v>4</v>
      </c>
      <c r="P1120">
        <v>0</v>
      </c>
      <c r="Q1120">
        <v>860.3896103896103</v>
      </c>
      <c r="R1120">
        <v>6.957328385899814</v>
      </c>
      <c r="S1120">
        <v>123.6666666666667</v>
      </c>
      <c r="T1120">
        <v>0</v>
      </c>
      <c r="U1120">
        <v>0</v>
      </c>
      <c r="V1120">
        <v>0</v>
      </c>
      <c r="W1120">
        <v>7.526178913346146</v>
      </c>
      <c r="X1120">
        <v>0</v>
      </c>
    </row>
    <row r="1121" spans="1:24">
      <c r="A1121" t="s">
        <v>3402</v>
      </c>
      <c r="B1121" t="s">
        <v>3403</v>
      </c>
      <c r="C1121" t="s">
        <v>35</v>
      </c>
      <c r="D1121">
        <v>3.081</v>
      </c>
      <c r="E1121">
        <v>6904</v>
      </c>
      <c r="F1121">
        <v>15</v>
      </c>
      <c r="G1121" t="s">
        <v>62</v>
      </c>
      <c r="H1121" t="s">
        <v>3404</v>
      </c>
      <c r="I1121" t="s">
        <v>29</v>
      </c>
      <c r="J1121" t="s">
        <v>30</v>
      </c>
      <c r="K1121" t="s">
        <v>30</v>
      </c>
      <c r="L1121" t="s">
        <v>30</v>
      </c>
      <c r="M1121" t="s">
        <v>97</v>
      </c>
      <c r="N1121">
        <v>21</v>
      </c>
      <c r="O1121">
        <v>4</v>
      </c>
      <c r="P1121">
        <v>0</v>
      </c>
      <c r="Q1121">
        <v>2240.830899058747</v>
      </c>
      <c r="R1121">
        <v>4.868549172346641</v>
      </c>
      <c r="S1121">
        <v>460.2666666666667</v>
      </c>
      <c r="T1121">
        <v>0</v>
      </c>
      <c r="U1121">
        <v>0</v>
      </c>
      <c r="V1121">
        <v>0</v>
      </c>
      <c r="W1121">
        <v>8.840001065843392</v>
      </c>
      <c r="X1121">
        <v>0</v>
      </c>
    </row>
    <row r="1122" spans="1:24">
      <c r="A1122" t="s">
        <v>3405</v>
      </c>
      <c r="B1122" t="s">
        <v>3406</v>
      </c>
      <c r="C1122" t="s">
        <v>35</v>
      </c>
      <c r="D1122">
        <v>1.181</v>
      </c>
      <c r="E1122">
        <v>2059</v>
      </c>
      <c r="F1122">
        <v>15</v>
      </c>
      <c r="G1122" t="s">
        <v>27</v>
      </c>
      <c r="H1122" t="s">
        <v>3407</v>
      </c>
      <c r="I1122" t="s">
        <v>29</v>
      </c>
      <c r="J1122" t="s">
        <v>30</v>
      </c>
      <c r="K1122" t="s">
        <v>30</v>
      </c>
      <c r="L1122" t="s">
        <v>30</v>
      </c>
      <c r="M1122" t="s">
        <v>76</v>
      </c>
      <c r="N1122">
        <v>21</v>
      </c>
      <c r="O1122">
        <v>4</v>
      </c>
      <c r="P1122">
        <v>0</v>
      </c>
      <c r="Q1122">
        <v>1743.437764606266</v>
      </c>
      <c r="R1122">
        <v>12.70110076206604</v>
      </c>
      <c r="S1122">
        <v>137.2666666666667</v>
      </c>
      <c r="T1122">
        <v>0</v>
      </c>
      <c r="U1122">
        <v>0</v>
      </c>
      <c r="V1122">
        <v>0</v>
      </c>
      <c r="W1122">
        <v>7.630461261783627</v>
      </c>
      <c r="X1122">
        <v>0</v>
      </c>
    </row>
    <row r="1123" spans="1:24">
      <c r="A1123" t="s">
        <v>3408</v>
      </c>
      <c r="B1123" t="s">
        <v>3409</v>
      </c>
      <c r="C1123" t="s">
        <v>26</v>
      </c>
      <c r="D1123">
        <v>1.909</v>
      </c>
      <c r="E1123">
        <v>34294</v>
      </c>
      <c r="F1123">
        <v>81</v>
      </c>
      <c r="G1123" t="s">
        <v>27</v>
      </c>
      <c r="H1123" t="s">
        <v>3410</v>
      </c>
      <c r="I1123" t="s">
        <v>49</v>
      </c>
      <c r="J1123" t="s">
        <v>30</v>
      </c>
      <c r="K1123" t="s">
        <v>31</v>
      </c>
      <c r="L1123" t="s">
        <v>31</v>
      </c>
      <c r="M1123" t="s">
        <v>97</v>
      </c>
      <c r="N1123">
        <v>21</v>
      </c>
      <c r="O1123">
        <v>4</v>
      </c>
      <c r="P1123">
        <v>0</v>
      </c>
      <c r="Q1123">
        <v>17964.37925615505</v>
      </c>
      <c r="R1123">
        <v>42.43059193294918</v>
      </c>
      <c r="S1123">
        <v>423.3827160493827</v>
      </c>
      <c r="T1123">
        <v>0</v>
      </c>
      <c r="U1123">
        <v>0</v>
      </c>
      <c r="V1123">
        <v>1</v>
      </c>
      <c r="W1123">
        <v>10.44275484993342</v>
      </c>
      <c r="X1123">
        <v>1</v>
      </c>
    </row>
    <row r="1124" spans="1:24">
      <c r="A1124" t="s">
        <v>3411</v>
      </c>
      <c r="B1124" t="s">
        <v>3412</v>
      </c>
      <c r="C1124" t="s">
        <v>35</v>
      </c>
      <c r="D1124">
        <v>3.679</v>
      </c>
      <c r="E1124">
        <v>4786</v>
      </c>
      <c r="F1124">
        <v>16</v>
      </c>
      <c r="G1124" t="s">
        <v>47</v>
      </c>
      <c r="H1124" t="s">
        <v>3413</v>
      </c>
      <c r="I1124" t="s">
        <v>29</v>
      </c>
      <c r="J1124" t="s">
        <v>31</v>
      </c>
      <c r="K1124" t="s">
        <v>38</v>
      </c>
      <c r="L1124" t="s">
        <v>31</v>
      </c>
      <c r="M1124" t="s">
        <v>39</v>
      </c>
      <c r="N1124">
        <v>21</v>
      </c>
      <c r="O1124">
        <v>4</v>
      </c>
      <c r="P1124">
        <v>0</v>
      </c>
      <c r="Q1124">
        <v>1300.896982875782</v>
      </c>
      <c r="R1124">
        <v>4.349007882576787</v>
      </c>
      <c r="S1124">
        <v>299.125</v>
      </c>
      <c r="T1124">
        <v>0</v>
      </c>
      <c r="U1124">
        <v>0</v>
      </c>
      <c r="V1124">
        <v>0</v>
      </c>
      <c r="W1124">
        <v>8.473659189392508</v>
      </c>
      <c r="X1124">
        <v>0</v>
      </c>
    </row>
    <row r="1125" spans="1:24">
      <c r="A1125" t="s">
        <v>3414</v>
      </c>
      <c r="B1125" t="s">
        <v>3415</v>
      </c>
      <c r="C1125" t="s">
        <v>35</v>
      </c>
      <c r="D1125">
        <v>4.181</v>
      </c>
      <c r="E1125">
        <v>2774</v>
      </c>
      <c r="F1125">
        <v>16</v>
      </c>
      <c r="G1125" t="s">
        <v>47</v>
      </c>
      <c r="H1125" t="s">
        <v>3416</v>
      </c>
      <c r="I1125" t="s">
        <v>29</v>
      </c>
      <c r="J1125" t="s">
        <v>31</v>
      </c>
      <c r="K1125" t="s">
        <v>30</v>
      </c>
      <c r="L1125" t="s">
        <v>30</v>
      </c>
      <c r="M1125" t="s">
        <v>76</v>
      </c>
      <c r="N1125">
        <v>21</v>
      </c>
      <c r="O1125">
        <v>4</v>
      </c>
      <c r="P1125">
        <v>0</v>
      </c>
      <c r="Q1125">
        <v>663.4776369289643</v>
      </c>
      <c r="R1125">
        <v>3.826835685242765</v>
      </c>
      <c r="S1125">
        <v>173.375</v>
      </c>
      <c r="T1125">
        <v>0</v>
      </c>
      <c r="U1125">
        <v>0</v>
      </c>
      <c r="V1125">
        <v>0</v>
      </c>
      <c r="W1125">
        <v>7.928406026180535</v>
      </c>
      <c r="X1125">
        <v>0</v>
      </c>
    </row>
    <row r="1126" spans="1:24">
      <c r="A1126" t="s">
        <v>3417</v>
      </c>
      <c r="B1126" t="s">
        <v>3418</v>
      </c>
      <c r="C1126" t="s">
        <v>130</v>
      </c>
      <c r="D1126">
        <v>0.8120000000000001</v>
      </c>
      <c r="E1126">
        <v>4317</v>
      </c>
      <c r="F1126">
        <v>22</v>
      </c>
      <c r="G1126" t="s">
        <v>47</v>
      </c>
      <c r="H1126" t="s">
        <v>3419</v>
      </c>
      <c r="I1126" t="s">
        <v>29</v>
      </c>
      <c r="J1126" t="s">
        <v>31</v>
      </c>
      <c r="K1126" t="s">
        <v>31</v>
      </c>
      <c r="L1126" t="s">
        <v>31</v>
      </c>
      <c r="M1126" t="s">
        <v>44</v>
      </c>
      <c r="N1126">
        <v>21</v>
      </c>
      <c r="O1126">
        <v>4</v>
      </c>
      <c r="P1126">
        <v>0</v>
      </c>
      <c r="Q1126">
        <v>5316.502463054187</v>
      </c>
      <c r="R1126">
        <v>27.0935960591133</v>
      </c>
      <c r="S1126">
        <v>196.2272727272727</v>
      </c>
      <c r="T1126">
        <v>0</v>
      </c>
      <c r="U1126">
        <v>0</v>
      </c>
      <c r="V1126">
        <v>0</v>
      </c>
      <c r="W1126">
        <v>8.370547611074752</v>
      </c>
      <c r="X1126">
        <v>0</v>
      </c>
    </row>
    <row r="1127" spans="1:24">
      <c r="A1127" t="s">
        <v>3420</v>
      </c>
      <c r="B1127" t="s">
        <v>3421</v>
      </c>
      <c r="C1127" t="s">
        <v>35</v>
      </c>
      <c r="D1127">
        <v>0.776</v>
      </c>
      <c r="E1127">
        <v>2864</v>
      </c>
      <c r="F1127">
        <v>14</v>
      </c>
      <c r="G1127" t="s">
        <v>62</v>
      </c>
      <c r="H1127" t="s">
        <v>3422</v>
      </c>
      <c r="I1127" t="s">
        <v>29</v>
      </c>
      <c r="J1127" t="s">
        <v>30</v>
      </c>
      <c r="K1127" t="s">
        <v>30</v>
      </c>
      <c r="L1127" t="s">
        <v>38</v>
      </c>
      <c r="M1127" t="s">
        <v>44</v>
      </c>
      <c r="N1127">
        <v>21</v>
      </c>
      <c r="O1127">
        <v>4</v>
      </c>
      <c r="P1127">
        <v>0</v>
      </c>
      <c r="Q1127">
        <v>3690.721649484536</v>
      </c>
      <c r="R1127">
        <v>18.04123711340206</v>
      </c>
      <c r="S1127">
        <v>204.5714285714286</v>
      </c>
      <c r="T1127">
        <v>0</v>
      </c>
      <c r="U1127">
        <v>0</v>
      </c>
      <c r="V1127">
        <v>0</v>
      </c>
      <c r="W1127">
        <v>7.960323629148839</v>
      </c>
      <c r="X1127">
        <v>0</v>
      </c>
    </row>
    <row r="1128" spans="1:24">
      <c r="A1128" t="s">
        <v>3423</v>
      </c>
      <c r="B1128" t="s">
        <v>3424</v>
      </c>
      <c r="C1128" t="s">
        <v>130</v>
      </c>
      <c r="D1128">
        <v>6.691</v>
      </c>
      <c r="E1128">
        <v>4211</v>
      </c>
      <c r="F1128">
        <v>18</v>
      </c>
      <c r="G1128" t="s">
        <v>27</v>
      </c>
      <c r="H1128" t="s">
        <v>3425</v>
      </c>
      <c r="I1128" t="s">
        <v>29</v>
      </c>
      <c r="J1128" t="s">
        <v>30</v>
      </c>
      <c r="K1128" t="s">
        <v>38</v>
      </c>
      <c r="L1128" t="s">
        <v>31</v>
      </c>
      <c r="M1128" t="s">
        <v>97</v>
      </c>
      <c r="N1128">
        <v>21</v>
      </c>
      <c r="O1128">
        <v>4</v>
      </c>
      <c r="P1128">
        <v>0</v>
      </c>
      <c r="Q1128">
        <v>629.3528620535047</v>
      </c>
      <c r="R1128">
        <v>2.69018083993424</v>
      </c>
      <c r="S1128">
        <v>233.9444444444445</v>
      </c>
      <c r="T1128">
        <v>0</v>
      </c>
      <c r="U1128">
        <v>0</v>
      </c>
      <c r="V1128">
        <v>0</v>
      </c>
      <c r="W1128">
        <v>8.345692873253865</v>
      </c>
      <c r="X1128">
        <v>0</v>
      </c>
    </row>
    <row r="1129" spans="1:24">
      <c r="A1129" t="s">
        <v>3426</v>
      </c>
      <c r="B1129" t="s">
        <v>3427</v>
      </c>
      <c r="C1129" t="s">
        <v>35</v>
      </c>
      <c r="D1129">
        <v>2.129</v>
      </c>
      <c r="E1129">
        <v>4497</v>
      </c>
      <c r="F1129">
        <v>22</v>
      </c>
      <c r="G1129" t="s">
        <v>62</v>
      </c>
      <c r="H1129" t="s">
        <v>3428</v>
      </c>
      <c r="I1129" t="s">
        <v>29</v>
      </c>
      <c r="J1129" t="s">
        <v>30</v>
      </c>
      <c r="K1129" t="s">
        <v>38</v>
      </c>
      <c r="L1129" t="s">
        <v>31</v>
      </c>
      <c r="M1129" t="s">
        <v>44</v>
      </c>
      <c r="N1129">
        <v>21</v>
      </c>
      <c r="O1129">
        <v>4</v>
      </c>
      <c r="P1129">
        <v>0</v>
      </c>
      <c r="Q1129">
        <v>2112.259276655707</v>
      </c>
      <c r="R1129">
        <v>10.33348990136214</v>
      </c>
      <c r="S1129">
        <v>204.4090909090909</v>
      </c>
      <c r="T1129">
        <v>0</v>
      </c>
      <c r="U1129">
        <v>0</v>
      </c>
      <c r="V1129">
        <v>0</v>
      </c>
      <c r="W1129">
        <v>8.411388132519262</v>
      </c>
      <c r="X1129">
        <v>0</v>
      </c>
    </row>
    <row r="1130" spans="1:24">
      <c r="A1130" t="s">
        <v>3429</v>
      </c>
      <c r="B1130" t="s">
        <v>3430</v>
      </c>
      <c r="C1130" t="s">
        <v>35</v>
      </c>
      <c r="D1130">
        <v>0.169</v>
      </c>
      <c r="E1130">
        <v>4352</v>
      </c>
      <c r="F1130">
        <v>1</v>
      </c>
      <c r="G1130" t="s">
        <v>27</v>
      </c>
      <c r="H1130" t="s">
        <v>3431</v>
      </c>
      <c r="I1130" t="s">
        <v>90</v>
      </c>
      <c r="J1130" t="s">
        <v>30</v>
      </c>
      <c r="K1130" t="s">
        <v>30</v>
      </c>
      <c r="L1130" t="s">
        <v>30</v>
      </c>
      <c r="M1130" t="s">
        <v>97</v>
      </c>
      <c r="N1130">
        <v>22</v>
      </c>
      <c r="O1130">
        <v>4</v>
      </c>
      <c r="P1130">
        <v>0</v>
      </c>
      <c r="Q1130">
        <v>25751.47928994083</v>
      </c>
      <c r="R1130">
        <v>5.917159763313609</v>
      </c>
      <c r="S1130">
        <v>4352</v>
      </c>
      <c r="T1130">
        <v>0</v>
      </c>
      <c r="U1130">
        <v>1</v>
      </c>
      <c r="V1130">
        <v>0</v>
      </c>
      <c r="W1130">
        <v>8.378620541552298</v>
      </c>
      <c r="X1130">
        <v>1</v>
      </c>
    </row>
    <row r="1131" spans="1:24">
      <c r="A1131" t="s">
        <v>3432</v>
      </c>
      <c r="B1131" t="s">
        <v>3433</v>
      </c>
      <c r="C1131" t="s">
        <v>35</v>
      </c>
      <c r="D1131">
        <v>2.568</v>
      </c>
      <c r="E1131">
        <v>5412</v>
      </c>
      <c r="F1131">
        <v>21</v>
      </c>
      <c r="G1131" t="s">
        <v>47</v>
      </c>
      <c r="H1131" t="s">
        <v>3434</v>
      </c>
      <c r="I1131" t="s">
        <v>29</v>
      </c>
      <c r="J1131" t="s">
        <v>31</v>
      </c>
      <c r="K1131" t="s">
        <v>30</v>
      </c>
      <c r="L1131" t="s">
        <v>38</v>
      </c>
      <c r="M1131" t="s">
        <v>44</v>
      </c>
      <c r="N1131">
        <v>22</v>
      </c>
      <c r="O1131">
        <v>4</v>
      </c>
      <c r="P1131">
        <v>0</v>
      </c>
      <c r="Q1131">
        <v>2107.476635514019</v>
      </c>
      <c r="R1131">
        <v>8.177570093457943</v>
      </c>
      <c r="S1131">
        <v>257.7142857142857</v>
      </c>
      <c r="T1131">
        <v>0</v>
      </c>
      <c r="U1131">
        <v>1</v>
      </c>
      <c r="V1131">
        <v>0</v>
      </c>
      <c r="W1131">
        <v>8.596558746796978</v>
      </c>
      <c r="X1131">
        <v>0</v>
      </c>
    </row>
    <row r="1132" spans="1:24">
      <c r="A1132" t="s">
        <v>3435</v>
      </c>
      <c r="B1132" t="s">
        <v>3436</v>
      </c>
      <c r="C1132" t="s">
        <v>52</v>
      </c>
      <c r="D1132">
        <v>2.812</v>
      </c>
      <c r="E1132">
        <v>1704</v>
      </c>
      <c r="F1132">
        <v>14</v>
      </c>
      <c r="G1132" t="s">
        <v>27</v>
      </c>
      <c r="H1132" t="s">
        <v>3437</v>
      </c>
      <c r="I1132" t="s">
        <v>29</v>
      </c>
      <c r="J1132" t="s">
        <v>30</v>
      </c>
      <c r="K1132" t="s">
        <v>30</v>
      </c>
      <c r="L1132" t="s">
        <v>30</v>
      </c>
      <c r="M1132" t="s">
        <v>44</v>
      </c>
      <c r="N1132">
        <v>22</v>
      </c>
      <c r="O1132">
        <v>4</v>
      </c>
      <c r="P1132">
        <v>0</v>
      </c>
      <c r="Q1132">
        <v>605.9743954480797</v>
      </c>
      <c r="R1132">
        <v>4.978662873399716</v>
      </c>
      <c r="S1132">
        <v>121.7142857142857</v>
      </c>
      <c r="T1132">
        <v>0</v>
      </c>
      <c r="U1132">
        <v>1</v>
      </c>
      <c r="V1132">
        <v>0</v>
      </c>
      <c r="W1132">
        <v>7.441320389717617</v>
      </c>
      <c r="X1132">
        <v>0</v>
      </c>
    </row>
    <row r="1133" spans="1:24">
      <c r="A1133" t="s">
        <v>3438</v>
      </c>
      <c r="B1133" t="s">
        <v>3439</v>
      </c>
      <c r="C1133" t="s">
        <v>35</v>
      </c>
      <c r="D1133">
        <v>0.052</v>
      </c>
      <c r="E1133">
        <v>3231</v>
      </c>
      <c r="F1133">
        <v>2</v>
      </c>
      <c r="G1133" t="s">
        <v>27</v>
      </c>
      <c r="H1133" t="s">
        <v>3440</v>
      </c>
      <c r="I1133" t="s">
        <v>90</v>
      </c>
      <c r="J1133" t="s">
        <v>30</v>
      </c>
      <c r="K1133" t="s">
        <v>31</v>
      </c>
      <c r="L1133" t="s">
        <v>30</v>
      </c>
      <c r="M1133" t="s">
        <v>97</v>
      </c>
      <c r="N1133">
        <v>22</v>
      </c>
      <c r="O1133">
        <v>4</v>
      </c>
      <c r="P1133">
        <v>0</v>
      </c>
      <c r="Q1133">
        <v>62134.61538461539</v>
      </c>
      <c r="R1133">
        <v>38.46153846153846</v>
      </c>
      <c r="S1133">
        <v>1615.5</v>
      </c>
      <c r="T1133">
        <v>0</v>
      </c>
      <c r="U1133">
        <v>1</v>
      </c>
      <c r="V1133">
        <v>0</v>
      </c>
      <c r="W1133">
        <v>8.080856419640986</v>
      </c>
      <c r="X1133">
        <v>1</v>
      </c>
    </row>
    <row r="1134" spans="1:24">
      <c r="A1134" t="s">
        <v>3441</v>
      </c>
      <c r="B1134" t="s">
        <v>3442</v>
      </c>
      <c r="C1134" t="s">
        <v>26</v>
      </c>
      <c r="D1134">
        <v>2.604</v>
      </c>
      <c r="E1134">
        <v>5222</v>
      </c>
      <c r="F1134">
        <v>25</v>
      </c>
      <c r="G1134" t="s">
        <v>47</v>
      </c>
      <c r="H1134" t="s">
        <v>3443</v>
      </c>
      <c r="I1134" t="s">
        <v>29</v>
      </c>
      <c r="J1134" t="s">
        <v>31</v>
      </c>
      <c r="K1134" t="s">
        <v>30</v>
      </c>
      <c r="L1134" t="s">
        <v>38</v>
      </c>
      <c r="M1134" t="s">
        <v>83</v>
      </c>
      <c r="N1134">
        <v>22</v>
      </c>
      <c r="O1134">
        <v>4</v>
      </c>
      <c r="P1134">
        <v>0</v>
      </c>
      <c r="Q1134">
        <v>2005.376344086021</v>
      </c>
      <c r="R1134">
        <v>9.600614439324117</v>
      </c>
      <c r="S1134">
        <v>208.88</v>
      </c>
      <c r="T1134">
        <v>0</v>
      </c>
      <c r="U1134">
        <v>1</v>
      </c>
      <c r="V1134">
        <v>0</v>
      </c>
      <c r="W1134">
        <v>8.560827228436299</v>
      </c>
      <c r="X1134">
        <v>0</v>
      </c>
    </row>
    <row r="1135" spans="1:24">
      <c r="A1135" t="s">
        <v>3444</v>
      </c>
      <c r="B1135" t="s">
        <v>3445</v>
      </c>
      <c r="C1135" t="s">
        <v>52</v>
      </c>
      <c r="D1135">
        <v>3.134</v>
      </c>
      <c r="E1135">
        <v>2477</v>
      </c>
      <c r="F1135">
        <v>22</v>
      </c>
      <c r="G1135" t="s">
        <v>47</v>
      </c>
      <c r="H1135" t="s">
        <v>3446</v>
      </c>
      <c r="I1135" t="s">
        <v>29</v>
      </c>
      <c r="J1135" t="s">
        <v>31</v>
      </c>
      <c r="K1135" t="s">
        <v>30</v>
      </c>
      <c r="L1135" t="s">
        <v>31</v>
      </c>
      <c r="M1135" t="s">
        <v>76</v>
      </c>
      <c r="N1135">
        <v>22</v>
      </c>
      <c r="O1135">
        <v>4</v>
      </c>
      <c r="P1135">
        <v>0</v>
      </c>
      <c r="Q1135">
        <v>790.3637523931079</v>
      </c>
      <c r="R1135">
        <v>7.019783024888322</v>
      </c>
      <c r="S1135">
        <v>112.5909090909091</v>
      </c>
      <c r="T1135">
        <v>0</v>
      </c>
      <c r="U1135">
        <v>1</v>
      </c>
      <c r="V1135">
        <v>0</v>
      </c>
      <c r="W1135">
        <v>7.815207062189088</v>
      </c>
      <c r="X1135">
        <v>0</v>
      </c>
    </row>
    <row r="1136" spans="1:24">
      <c r="A1136" t="s">
        <v>3447</v>
      </c>
      <c r="B1136" t="s">
        <v>3448</v>
      </c>
      <c r="C1136" t="s">
        <v>130</v>
      </c>
      <c r="D1136">
        <v>5.537</v>
      </c>
      <c r="E1136">
        <v>2473</v>
      </c>
      <c r="F1136">
        <v>13</v>
      </c>
      <c r="G1136" t="s">
        <v>36</v>
      </c>
      <c r="H1136" t="s">
        <v>3449</v>
      </c>
      <c r="I1136" t="s">
        <v>29</v>
      </c>
      <c r="J1136" t="s">
        <v>38</v>
      </c>
      <c r="K1136" t="s">
        <v>31</v>
      </c>
      <c r="L1136" t="s">
        <v>38</v>
      </c>
      <c r="M1136" t="s">
        <v>44</v>
      </c>
      <c r="N1136">
        <v>22</v>
      </c>
      <c r="O1136">
        <v>4</v>
      </c>
      <c r="P1136">
        <v>0</v>
      </c>
      <c r="Q1136">
        <v>446.6317500451508</v>
      </c>
      <c r="R1136">
        <v>2.34784179158389</v>
      </c>
      <c r="S1136">
        <v>190.2307692307692</v>
      </c>
      <c r="T1136">
        <v>0</v>
      </c>
      <c r="U1136">
        <v>1</v>
      </c>
      <c r="V1136">
        <v>0</v>
      </c>
      <c r="W1136">
        <v>7.813591552952433</v>
      </c>
      <c r="X1136">
        <v>0</v>
      </c>
    </row>
    <row r="1137" spans="1:24">
      <c r="A1137" t="s">
        <v>3450</v>
      </c>
      <c r="B1137" t="s">
        <v>3451</v>
      </c>
      <c r="C1137" t="s">
        <v>35</v>
      </c>
      <c r="D1137">
        <v>0.107</v>
      </c>
      <c r="E1137">
        <v>1877</v>
      </c>
      <c r="F1137">
        <v>19</v>
      </c>
      <c r="G1137" t="s">
        <v>47</v>
      </c>
      <c r="H1137" t="s">
        <v>3452</v>
      </c>
      <c r="I1137" t="s">
        <v>29</v>
      </c>
      <c r="J1137" t="s">
        <v>31</v>
      </c>
      <c r="K1137" t="s">
        <v>30</v>
      </c>
      <c r="L1137" t="s">
        <v>30</v>
      </c>
      <c r="M1137" t="s">
        <v>76</v>
      </c>
      <c r="N1137">
        <v>22</v>
      </c>
      <c r="O1137">
        <v>4</v>
      </c>
      <c r="P1137">
        <v>0</v>
      </c>
      <c r="Q1137">
        <v>17542.05607476635</v>
      </c>
      <c r="R1137">
        <v>177.5700934579439</v>
      </c>
      <c r="S1137">
        <v>98.78947368421052</v>
      </c>
      <c r="T1137">
        <v>0</v>
      </c>
      <c r="U1137">
        <v>1</v>
      </c>
      <c r="V1137">
        <v>0</v>
      </c>
      <c r="W1137">
        <v>7.537962659768208</v>
      </c>
      <c r="X1137">
        <v>0</v>
      </c>
    </row>
    <row r="1138" spans="1:24">
      <c r="A1138" t="s">
        <v>3453</v>
      </c>
      <c r="B1138" t="s">
        <v>3454</v>
      </c>
      <c r="C1138" t="s">
        <v>35</v>
      </c>
      <c r="D1138">
        <v>9.585000000000001</v>
      </c>
      <c r="E1138">
        <v>3265</v>
      </c>
      <c r="F1138">
        <v>19</v>
      </c>
      <c r="G1138" t="s">
        <v>27</v>
      </c>
      <c r="H1138" t="s">
        <v>3455</v>
      </c>
      <c r="I1138" t="s">
        <v>29</v>
      </c>
      <c r="J1138" t="s">
        <v>30</v>
      </c>
      <c r="K1138" t="s">
        <v>30</v>
      </c>
      <c r="L1138" t="s">
        <v>31</v>
      </c>
      <c r="M1138" t="s">
        <v>97</v>
      </c>
      <c r="N1138">
        <v>22</v>
      </c>
      <c r="O1138">
        <v>4</v>
      </c>
      <c r="P1138">
        <v>0</v>
      </c>
      <c r="Q1138">
        <v>340.6364110589462</v>
      </c>
      <c r="R1138">
        <v>1.98226395409494</v>
      </c>
      <c r="S1138">
        <v>171.8421052631579</v>
      </c>
      <c r="T1138">
        <v>0</v>
      </c>
      <c r="U1138">
        <v>1</v>
      </c>
      <c r="V1138">
        <v>0</v>
      </c>
      <c r="W1138">
        <v>8.09132127353041</v>
      </c>
      <c r="X1138">
        <v>0</v>
      </c>
    </row>
    <row r="1139" spans="1:24">
      <c r="A1139" t="s">
        <v>3456</v>
      </c>
      <c r="B1139" t="s">
        <v>3457</v>
      </c>
      <c r="C1139" t="s">
        <v>130</v>
      </c>
      <c r="D1139">
        <v>2.647</v>
      </c>
      <c r="E1139">
        <v>1753</v>
      </c>
      <c r="F1139">
        <v>15</v>
      </c>
      <c r="G1139" t="s">
        <v>36</v>
      </c>
      <c r="H1139" t="s">
        <v>3458</v>
      </c>
      <c r="I1139" t="s">
        <v>29</v>
      </c>
      <c r="J1139" t="s">
        <v>38</v>
      </c>
      <c r="K1139" t="s">
        <v>31</v>
      </c>
      <c r="L1139" t="s">
        <v>30</v>
      </c>
      <c r="M1139" t="s">
        <v>44</v>
      </c>
      <c r="N1139">
        <v>22</v>
      </c>
      <c r="O1139">
        <v>4</v>
      </c>
      <c r="P1139">
        <v>0</v>
      </c>
      <c r="Q1139">
        <v>662.2591613146959</v>
      </c>
      <c r="R1139">
        <v>5.666792595391009</v>
      </c>
      <c r="S1139">
        <v>116.8666666666667</v>
      </c>
      <c r="T1139">
        <v>0</v>
      </c>
      <c r="U1139">
        <v>1</v>
      </c>
      <c r="V1139">
        <v>0</v>
      </c>
      <c r="W1139">
        <v>7.469654172932128</v>
      </c>
      <c r="X1139">
        <v>0</v>
      </c>
    </row>
    <row r="1140" spans="1:24">
      <c r="A1140" t="s">
        <v>3459</v>
      </c>
      <c r="B1140" t="s">
        <v>3460</v>
      </c>
      <c r="C1140" t="s">
        <v>26</v>
      </c>
      <c r="D1140">
        <v>2.62</v>
      </c>
      <c r="E1140">
        <v>3766</v>
      </c>
      <c r="F1140">
        <v>22</v>
      </c>
      <c r="G1140" t="s">
        <v>47</v>
      </c>
      <c r="H1140" t="s">
        <v>3461</v>
      </c>
      <c r="I1140" t="s">
        <v>29</v>
      </c>
      <c r="J1140" t="s">
        <v>31</v>
      </c>
      <c r="K1140" t="s">
        <v>31</v>
      </c>
      <c r="L1140" t="s">
        <v>30</v>
      </c>
      <c r="M1140" t="s">
        <v>97</v>
      </c>
      <c r="N1140">
        <v>22</v>
      </c>
      <c r="O1140">
        <v>4</v>
      </c>
      <c r="P1140">
        <v>0</v>
      </c>
      <c r="Q1140">
        <v>1437.404580152672</v>
      </c>
      <c r="R1140">
        <v>8.396946564885496</v>
      </c>
      <c r="S1140">
        <v>171.1818181818182</v>
      </c>
      <c r="T1140">
        <v>0</v>
      </c>
      <c r="U1140">
        <v>1</v>
      </c>
      <c r="V1140">
        <v>0</v>
      </c>
      <c r="W1140">
        <v>8.234034207692041</v>
      </c>
      <c r="X1140">
        <v>0</v>
      </c>
    </row>
    <row r="1141" spans="1:24">
      <c r="A1141" t="s">
        <v>3462</v>
      </c>
      <c r="B1141" t="s">
        <v>3463</v>
      </c>
      <c r="C1141" t="s">
        <v>35</v>
      </c>
      <c r="D1141">
        <v>10.364</v>
      </c>
      <c r="E1141">
        <v>1921</v>
      </c>
      <c r="F1141">
        <v>17</v>
      </c>
      <c r="G1141" t="s">
        <v>27</v>
      </c>
      <c r="H1141" t="s">
        <v>3464</v>
      </c>
      <c r="I1141" t="s">
        <v>29</v>
      </c>
      <c r="J1141" t="s">
        <v>30</v>
      </c>
      <c r="K1141" t="s">
        <v>30</v>
      </c>
      <c r="L1141" t="s">
        <v>30</v>
      </c>
      <c r="M1141" t="s">
        <v>76</v>
      </c>
      <c r="N1141">
        <v>22</v>
      </c>
      <c r="O1141">
        <v>4</v>
      </c>
      <c r="P1141">
        <v>0</v>
      </c>
      <c r="Q1141">
        <v>185.3531455036665</v>
      </c>
      <c r="R1141">
        <v>1.640293323041297</v>
      </c>
      <c r="S1141">
        <v>113</v>
      </c>
      <c r="T1141">
        <v>0</v>
      </c>
      <c r="U1141">
        <v>1</v>
      </c>
      <c r="V1141">
        <v>0</v>
      </c>
      <c r="W1141">
        <v>7.561121589530238</v>
      </c>
      <c r="X1141">
        <v>0</v>
      </c>
    </row>
    <row r="1142" spans="1:24">
      <c r="A1142" t="s">
        <v>3465</v>
      </c>
      <c r="B1142" t="s">
        <v>3466</v>
      </c>
      <c r="C1142" t="s">
        <v>35</v>
      </c>
      <c r="D1142">
        <v>2.665</v>
      </c>
      <c r="E1142">
        <v>10924</v>
      </c>
      <c r="F1142">
        <v>20</v>
      </c>
      <c r="G1142" t="s">
        <v>27</v>
      </c>
      <c r="H1142" t="s">
        <v>3467</v>
      </c>
      <c r="I1142" t="s">
        <v>29</v>
      </c>
      <c r="J1142" t="s">
        <v>30</v>
      </c>
      <c r="K1142" t="s">
        <v>30</v>
      </c>
      <c r="L1142" t="s">
        <v>30</v>
      </c>
      <c r="M1142" t="s">
        <v>32</v>
      </c>
      <c r="N1142">
        <v>23</v>
      </c>
      <c r="O1142">
        <v>4</v>
      </c>
      <c r="P1142">
        <v>0</v>
      </c>
      <c r="Q1142">
        <v>4099.06191369606</v>
      </c>
      <c r="R1142">
        <v>7.5046904315197</v>
      </c>
      <c r="S1142">
        <v>546.2</v>
      </c>
      <c r="T1142">
        <v>0</v>
      </c>
      <c r="U1142">
        <v>1</v>
      </c>
      <c r="V1142">
        <v>1</v>
      </c>
      <c r="W1142">
        <v>9.298809019963793</v>
      </c>
      <c r="X1142">
        <v>0</v>
      </c>
    </row>
    <row r="1143" spans="1:24">
      <c r="A1143" t="s">
        <v>3468</v>
      </c>
      <c r="B1143" t="s">
        <v>3469</v>
      </c>
      <c r="C1143" t="s">
        <v>26</v>
      </c>
      <c r="D1143">
        <v>0.959</v>
      </c>
      <c r="E1143">
        <v>2667</v>
      </c>
      <c r="F1143">
        <v>16</v>
      </c>
      <c r="G1143" t="s">
        <v>62</v>
      </c>
      <c r="H1143" t="s">
        <v>3470</v>
      </c>
      <c r="I1143" t="s">
        <v>29</v>
      </c>
      <c r="J1143" t="s">
        <v>30</v>
      </c>
      <c r="K1143" t="s">
        <v>30</v>
      </c>
      <c r="L1143" t="s">
        <v>30</v>
      </c>
      <c r="M1143" t="s">
        <v>44</v>
      </c>
      <c r="N1143">
        <v>23</v>
      </c>
      <c r="O1143">
        <v>4</v>
      </c>
      <c r="P1143">
        <v>0</v>
      </c>
      <c r="Q1143">
        <v>2781.021897810219</v>
      </c>
      <c r="R1143">
        <v>16.68404588112617</v>
      </c>
      <c r="S1143">
        <v>166.6875</v>
      </c>
      <c r="T1143">
        <v>0</v>
      </c>
      <c r="U1143">
        <v>1</v>
      </c>
      <c r="V1143">
        <v>0</v>
      </c>
      <c r="W1143">
        <v>7.889084407035514</v>
      </c>
      <c r="X1143">
        <v>0</v>
      </c>
    </row>
    <row r="1144" spans="1:24">
      <c r="A1144" t="s">
        <v>3471</v>
      </c>
      <c r="B1144" t="s">
        <v>3472</v>
      </c>
      <c r="C1144" t="s">
        <v>52</v>
      </c>
      <c r="D1144">
        <v>4.032</v>
      </c>
      <c r="E1144">
        <v>10779</v>
      </c>
      <c r="F1144">
        <v>125</v>
      </c>
      <c r="G1144" t="s">
        <v>27</v>
      </c>
      <c r="H1144" t="s">
        <v>3473</v>
      </c>
      <c r="I1144" t="s">
        <v>49</v>
      </c>
      <c r="J1144" t="s">
        <v>30</v>
      </c>
      <c r="K1144" t="s">
        <v>30</v>
      </c>
      <c r="L1144" t="s">
        <v>30</v>
      </c>
      <c r="M1144" t="s">
        <v>44</v>
      </c>
      <c r="N1144">
        <v>23</v>
      </c>
      <c r="O1144">
        <v>4</v>
      </c>
      <c r="P1144">
        <v>0</v>
      </c>
      <c r="Q1144">
        <v>2673.363095238095</v>
      </c>
      <c r="R1144">
        <v>31.00198412698413</v>
      </c>
      <c r="S1144">
        <v>86.232</v>
      </c>
      <c r="T1144">
        <v>0</v>
      </c>
      <c r="U1144">
        <v>1</v>
      </c>
      <c r="V1144">
        <v>1</v>
      </c>
      <c r="W1144">
        <v>9.285447844462988</v>
      </c>
      <c r="X1144">
        <v>1</v>
      </c>
    </row>
    <row r="1145" spans="1:24">
      <c r="A1145" t="s">
        <v>3474</v>
      </c>
      <c r="B1145" t="s">
        <v>3475</v>
      </c>
      <c r="C1145" t="s">
        <v>26</v>
      </c>
      <c r="D1145">
        <v>4.541</v>
      </c>
      <c r="E1145">
        <v>2275</v>
      </c>
      <c r="F1145">
        <v>13</v>
      </c>
      <c r="G1145" t="s">
        <v>62</v>
      </c>
      <c r="H1145" t="s">
        <v>3476</v>
      </c>
      <c r="I1145" t="s">
        <v>29</v>
      </c>
      <c r="J1145" t="s">
        <v>30</v>
      </c>
      <c r="K1145" t="s">
        <v>31</v>
      </c>
      <c r="L1145" t="s">
        <v>31</v>
      </c>
      <c r="M1145" t="s">
        <v>44</v>
      </c>
      <c r="N1145">
        <v>23</v>
      </c>
      <c r="O1145">
        <v>4</v>
      </c>
      <c r="P1145">
        <v>0</v>
      </c>
      <c r="Q1145">
        <v>500.9909711517287</v>
      </c>
      <c r="R1145">
        <v>2.862805549438449</v>
      </c>
      <c r="S1145">
        <v>175</v>
      </c>
      <c r="T1145">
        <v>0</v>
      </c>
      <c r="U1145">
        <v>1</v>
      </c>
      <c r="V1145">
        <v>0</v>
      </c>
      <c r="W1145">
        <v>7.730174795246222</v>
      </c>
      <c r="X1145">
        <v>0</v>
      </c>
    </row>
    <row r="1146" spans="1:24">
      <c r="A1146" t="s">
        <v>3477</v>
      </c>
      <c r="B1146" t="s">
        <v>3478</v>
      </c>
      <c r="C1146" t="s">
        <v>26</v>
      </c>
      <c r="D1146">
        <v>1.291</v>
      </c>
      <c r="E1146">
        <v>10671</v>
      </c>
      <c r="F1146">
        <v>22</v>
      </c>
      <c r="G1146" t="s">
        <v>47</v>
      </c>
      <c r="H1146" t="s">
        <v>3479</v>
      </c>
      <c r="I1146" t="s">
        <v>29</v>
      </c>
      <c r="J1146" t="s">
        <v>31</v>
      </c>
      <c r="K1146" t="s">
        <v>30</v>
      </c>
      <c r="L1146" t="s">
        <v>30</v>
      </c>
      <c r="M1146" t="s">
        <v>39</v>
      </c>
      <c r="N1146">
        <v>23</v>
      </c>
      <c r="O1146">
        <v>4</v>
      </c>
      <c r="P1146">
        <v>0</v>
      </c>
      <c r="Q1146">
        <v>8265.685515104571</v>
      </c>
      <c r="R1146">
        <v>17.04105344694036</v>
      </c>
      <c r="S1146">
        <v>485.0454545454546</v>
      </c>
      <c r="T1146">
        <v>0</v>
      </c>
      <c r="U1146">
        <v>1</v>
      </c>
      <c r="V1146">
        <v>1</v>
      </c>
      <c r="W1146">
        <v>9.275378768155404</v>
      </c>
      <c r="X1146">
        <v>0</v>
      </c>
    </row>
    <row r="1147" spans="1:24">
      <c r="A1147" t="s">
        <v>3480</v>
      </c>
      <c r="B1147" t="s">
        <v>3481</v>
      </c>
      <c r="C1147" t="s">
        <v>35</v>
      </c>
      <c r="D1147">
        <v>4.015</v>
      </c>
      <c r="E1147">
        <v>1637</v>
      </c>
      <c r="F1147">
        <v>18</v>
      </c>
      <c r="G1147" t="s">
        <v>47</v>
      </c>
      <c r="H1147" t="s">
        <v>3482</v>
      </c>
      <c r="I1147" t="s">
        <v>29</v>
      </c>
      <c r="J1147" t="s">
        <v>31</v>
      </c>
      <c r="K1147" t="s">
        <v>31</v>
      </c>
      <c r="L1147" t="s">
        <v>31</v>
      </c>
      <c r="M1147" t="s">
        <v>83</v>
      </c>
      <c r="N1147">
        <v>23</v>
      </c>
      <c r="O1147">
        <v>4</v>
      </c>
      <c r="P1147">
        <v>0</v>
      </c>
      <c r="Q1147">
        <v>407.7210460772105</v>
      </c>
      <c r="R1147">
        <v>4.483188044831881</v>
      </c>
      <c r="S1147">
        <v>90.94444444444444</v>
      </c>
      <c r="T1147">
        <v>0</v>
      </c>
      <c r="U1147">
        <v>1</v>
      </c>
      <c r="V1147">
        <v>0</v>
      </c>
      <c r="W1147">
        <v>7.401231264413015</v>
      </c>
      <c r="X1147">
        <v>0</v>
      </c>
    </row>
    <row r="1148" spans="1:24">
      <c r="A1148" t="s">
        <v>3483</v>
      </c>
      <c r="B1148" t="s">
        <v>3484</v>
      </c>
      <c r="C1148" t="s">
        <v>26</v>
      </c>
      <c r="D1148">
        <v>1.416</v>
      </c>
      <c r="E1148">
        <v>1265</v>
      </c>
      <c r="F1148">
        <v>20</v>
      </c>
      <c r="G1148" t="s">
        <v>47</v>
      </c>
      <c r="H1148" t="s">
        <v>3485</v>
      </c>
      <c r="I1148" t="s">
        <v>29</v>
      </c>
      <c r="J1148" t="s">
        <v>31</v>
      </c>
      <c r="K1148" t="s">
        <v>30</v>
      </c>
      <c r="L1148" t="s">
        <v>31</v>
      </c>
      <c r="M1148" t="s">
        <v>39</v>
      </c>
      <c r="N1148">
        <v>23</v>
      </c>
      <c r="O1148">
        <v>4</v>
      </c>
      <c r="P1148">
        <v>0</v>
      </c>
      <c r="Q1148">
        <v>893.361581920904</v>
      </c>
      <c r="R1148">
        <v>14.12429378531074</v>
      </c>
      <c r="S1148">
        <v>63.25</v>
      </c>
      <c r="T1148">
        <v>0</v>
      </c>
      <c r="U1148">
        <v>1</v>
      </c>
      <c r="V1148">
        <v>0</v>
      </c>
      <c r="W1148">
        <v>7.143617602704121</v>
      </c>
      <c r="X1148">
        <v>0</v>
      </c>
    </row>
    <row r="1149" spans="1:24">
      <c r="A1149" t="s">
        <v>3486</v>
      </c>
      <c r="B1149" t="s">
        <v>3487</v>
      </c>
      <c r="C1149" t="s">
        <v>26</v>
      </c>
      <c r="D1149">
        <v>1.721</v>
      </c>
      <c r="E1149">
        <v>1691</v>
      </c>
      <c r="F1149">
        <v>20</v>
      </c>
      <c r="G1149" t="s">
        <v>27</v>
      </c>
      <c r="H1149" t="s">
        <v>3488</v>
      </c>
      <c r="I1149" t="s">
        <v>29</v>
      </c>
      <c r="J1149" t="s">
        <v>30</v>
      </c>
      <c r="K1149" t="s">
        <v>30</v>
      </c>
      <c r="L1149" t="s">
        <v>31</v>
      </c>
      <c r="M1149" t="s">
        <v>97</v>
      </c>
      <c r="N1149">
        <v>23</v>
      </c>
      <c r="O1149">
        <v>4</v>
      </c>
      <c r="P1149">
        <v>0</v>
      </c>
      <c r="Q1149">
        <v>982.5682742591516</v>
      </c>
      <c r="R1149">
        <v>11.6211504938989</v>
      </c>
      <c r="S1149">
        <v>84.55</v>
      </c>
      <c r="T1149">
        <v>0</v>
      </c>
      <c r="U1149">
        <v>1</v>
      </c>
      <c r="V1149">
        <v>0</v>
      </c>
      <c r="W1149">
        <v>7.433666540166168</v>
      </c>
      <c r="X1149">
        <v>0</v>
      </c>
    </row>
    <row r="1150" spans="1:24">
      <c r="A1150" t="s">
        <v>3489</v>
      </c>
      <c r="B1150" t="s">
        <v>3490</v>
      </c>
      <c r="C1150" t="s">
        <v>26</v>
      </c>
      <c r="D1150">
        <v>11.465</v>
      </c>
      <c r="E1150">
        <v>4344</v>
      </c>
      <c r="F1150">
        <v>15</v>
      </c>
      <c r="G1150" t="s">
        <v>36</v>
      </c>
      <c r="H1150" t="s">
        <v>3491</v>
      </c>
      <c r="I1150" t="s">
        <v>29</v>
      </c>
      <c r="J1150" t="s">
        <v>38</v>
      </c>
      <c r="K1150" t="s">
        <v>31</v>
      </c>
      <c r="L1150" t="s">
        <v>30</v>
      </c>
      <c r="M1150" t="s">
        <v>44</v>
      </c>
      <c r="N1150">
        <v>23</v>
      </c>
      <c r="O1150">
        <v>4</v>
      </c>
      <c r="P1150">
        <v>0</v>
      </c>
      <c r="Q1150">
        <v>378.8922808547754</v>
      </c>
      <c r="R1150">
        <v>1.308329699084169</v>
      </c>
      <c r="S1150">
        <v>289.6</v>
      </c>
      <c r="T1150">
        <v>0</v>
      </c>
      <c r="U1150">
        <v>1</v>
      </c>
      <c r="V1150">
        <v>0</v>
      </c>
      <c r="W1150">
        <v>8.376781037699493</v>
      </c>
      <c r="X1150">
        <v>0</v>
      </c>
    </row>
    <row r="1151" spans="1:24">
      <c r="A1151" t="s">
        <v>3492</v>
      </c>
      <c r="B1151" t="s">
        <v>3493</v>
      </c>
      <c r="C1151" t="s">
        <v>26</v>
      </c>
      <c r="D1151">
        <v>1.415</v>
      </c>
      <c r="E1151">
        <v>2526</v>
      </c>
      <c r="F1151">
        <v>13</v>
      </c>
      <c r="G1151" t="s">
        <v>36</v>
      </c>
      <c r="H1151" t="s">
        <v>3494</v>
      </c>
      <c r="I1151" t="s">
        <v>29</v>
      </c>
      <c r="J1151" t="s">
        <v>38</v>
      </c>
      <c r="K1151" t="s">
        <v>30</v>
      </c>
      <c r="L1151" t="s">
        <v>30</v>
      </c>
      <c r="M1151" t="s">
        <v>32</v>
      </c>
      <c r="N1151">
        <v>23</v>
      </c>
      <c r="O1151">
        <v>4</v>
      </c>
      <c r="P1151">
        <v>0</v>
      </c>
      <c r="Q1151">
        <v>1785.159010600707</v>
      </c>
      <c r="R1151">
        <v>9.187279151943462</v>
      </c>
      <c r="S1151">
        <v>194.3076923076923</v>
      </c>
      <c r="T1151">
        <v>0</v>
      </c>
      <c r="U1151">
        <v>1</v>
      </c>
      <c r="V1151">
        <v>0</v>
      </c>
      <c r="W1151">
        <v>7.834788107388194</v>
      </c>
      <c r="X1151">
        <v>0</v>
      </c>
    </row>
    <row r="1152" spans="1:24">
      <c r="A1152" t="s">
        <v>3495</v>
      </c>
      <c r="B1152" t="s">
        <v>3496</v>
      </c>
      <c r="C1152" t="s">
        <v>35</v>
      </c>
      <c r="D1152">
        <v>3.923</v>
      </c>
      <c r="E1152">
        <v>1255</v>
      </c>
      <c r="F1152">
        <v>20</v>
      </c>
      <c r="G1152" t="s">
        <v>62</v>
      </c>
      <c r="H1152" t="s">
        <v>3497</v>
      </c>
      <c r="I1152" t="s">
        <v>29</v>
      </c>
      <c r="J1152" t="s">
        <v>30</v>
      </c>
      <c r="K1152" t="s">
        <v>30</v>
      </c>
      <c r="L1152" t="s">
        <v>30</v>
      </c>
      <c r="M1152" t="s">
        <v>97</v>
      </c>
      <c r="N1152">
        <v>23</v>
      </c>
      <c r="O1152">
        <v>4</v>
      </c>
      <c r="P1152">
        <v>0</v>
      </c>
      <c r="Q1152">
        <v>319.9082334947744</v>
      </c>
      <c r="R1152">
        <v>5.098139179199592</v>
      </c>
      <c r="S1152">
        <v>62.75</v>
      </c>
      <c r="T1152">
        <v>0</v>
      </c>
      <c r="U1152">
        <v>1</v>
      </c>
      <c r="V1152">
        <v>0</v>
      </c>
      <c r="W1152">
        <v>7.135687347028144</v>
      </c>
      <c r="X1152">
        <v>0</v>
      </c>
    </row>
    <row r="1153" spans="1:24">
      <c r="A1153" t="s">
        <v>3498</v>
      </c>
      <c r="B1153" t="s">
        <v>3499</v>
      </c>
      <c r="C1153" t="s">
        <v>26</v>
      </c>
      <c r="D1153">
        <v>3.831</v>
      </c>
      <c r="E1153">
        <v>6087</v>
      </c>
      <c r="F1153">
        <v>19</v>
      </c>
      <c r="G1153" t="s">
        <v>47</v>
      </c>
      <c r="H1153" t="s">
        <v>3500</v>
      </c>
      <c r="I1153" t="s">
        <v>29</v>
      </c>
      <c r="J1153" t="s">
        <v>31</v>
      </c>
      <c r="K1153" t="s">
        <v>30</v>
      </c>
      <c r="L1153" t="s">
        <v>30</v>
      </c>
      <c r="M1153" t="s">
        <v>44</v>
      </c>
      <c r="N1153">
        <v>23</v>
      </c>
      <c r="O1153">
        <v>4</v>
      </c>
      <c r="P1153">
        <v>0</v>
      </c>
      <c r="Q1153">
        <v>1588.880187940486</v>
      </c>
      <c r="R1153">
        <v>4.959540589924302</v>
      </c>
      <c r="S1153">
        <v>320.3684210526316</v>
      </c>
      <c r="T1153">
        <v>0</v>
      </c>
      <c r="U1153">
        <v>1</v>
      </c>
      <c r="V1153">
        <v>0</v>
      </c>
      <c r="W1153">
        <v>8.714074899541522</v>
      </c>
      <c r="X1153">
        <v>0</v>
      </c>
    </row>
    <row r="1154" spans="1:24">
      <c r="A1154" t="s">
        <v>3501</v>
      </c>
      <c r="B1154" t="s">
        <v>3502</v>
      </c>
      <c r="C1154" t="s">
        <v>35</v>
      </c>
      <c r="D1154">
        <v>1.371</v>
      </c>
      <c r="E1154">
        <v>2307</v>
      </c>
      <c r="F1154">
        <v>19</v>
      </c>
      <c r="G1154" t="s">
        <v>27</v>
      </c>
      <c r="H1154" t="s">
        <v>3503</v>
      </c>
      <c r="I1154" t="s">
        <v>29</v>
      </c>
      <c r="J1154" t="s">
        <v>30</v>
      </c>
      <c r="K1154" t="s">
        <v>38</v>
      </c>
      <c r="L1154" t="s">
        <v>31</v>
      </c>
      <c r="M1154" t="s">
        <v>44</v>
      </c>
      <c r="N1154">
        <v>0</v>
      </c>
      <c r="O1154">
        <v>5</v>
      </c>
      <c r="P1154">
        <v>0</v>
      </c>
      <c r="Q1154">
        <v>1682.713347921226</v>
      </c>
      <c r="R1154">
        <v>13.85849744711889</v>
      </c>
      <c r="S1154">
        <v>121.421052631579</v>
      </c>
      <c r="T1154">
        <v>1</v>
      </c>
      <c r="U1154">
        <v>1</v>
      </c>
      <c r="V1154">
        <v>0</v>
      </c>
      <c r="W1154">
        <v>7.744136627627991</v>
      </c>
      <c r="X1154">
        <v>0</v>
      </c>
    </row>
    <row r="1155" spans="1:24">
      <c r="A1155" t="s">
        <v>3504</v>
      </c>
      <c r="B1155" t="s">
        <v>3505</v>
      </c>
      <c r="C1155" t="s">
        <v>52</v>
      </c>
      <c r="D1155">
        <v>7.143</v>
      </c>
      <c r="E1155">
        <v>2018</v>
      </c>
      <c r="F1155">
        <v>14</v>
      </c>
      <c r="G1155" t="s">
        <v>36</v>
      </c>
      <c r="H1155" t="s">
        <v>3506</v>
      </c>
      <c r="I1155" t="s">
        <v>29</v>
      </c>
      <c r="J1155" t="s">
        <v>38</v>
      </c>
      <c r="K1155" t="s">
        <v>30</v>
      </c>
      <c r="L1155" t="s">
        <v>31</v>
      </c>
      <c r="M1155" t="s">
        <v>44</v>
      </c>
      <c r="N1155">
        <v>0</v>
      </c>
      <c r="O1155">
        <v>5</v>
      </c>
      <c r="P1155">
        <v>0</v>
      </c>
      <c r="Q1155">
        <v>282.5143497130057</v>
      </c>
      <c r="R1155">
        <v>1.959960800783984</v>
      </c>
      <c r="S1155">
        <v>144.1428571428571</v>
      </c>
      <c r="T1155">
        <v>1</v>
      </c>
      <c r="U1155">
        <v>1</v>
      </c>
      <c r="V1155">
        <v>0</v>
      </c>
      <c r="W1155">
        <v>7.610357618312838</v>
      </c>
      <c r="X1155">
        <v>0</v>
      </c>
    </row>
    <row r="1156" spans="1:24">
      <c r="A1156" t="s">
        <v>3507</v>
      </c>
      <c r="B1156" t="s">
        <v>3508</v>
      </c>
      <c r="C1156" t="s">
        <v>35</v>
      </c>
      <c r="D1156">
        <v>11.387</v>
      </c>
      <c r="E1156">
        <v>2155</v>
      </c>
      <c r="F1156">
        <v>17</v>
      </c>
      <c r="G1156" t="s">
        <v>27</v>
      </c>
      <c r="H1156" t="s">
        <v>3509</v>
      </c>
      <c r="I1156" t="s">
        <v>29</v>
      </c>
      <c r="J1156" t="s">
        <v>30</v>
      </c>
      <c r="K1156" t="s">
        <v>31</v>
      </c>
      <c r="L1156" t="s">
        <v>30</v>
      </c>
      <c r="M1156" t="s">
        <v>76</v>
      </c>
      <c r="N1156">
        <v>0</v>
      </c>
      <c r="O1156">
        <v>5</v>
      </c>
      <c r="P1156">
        <v>0</v>
      </c>
      <c r="Q1156">
        <v>189.250900149293</v>
      </c>
      <c r="R1156">
        <v>1.492930534820409</v>
      </c>
      <c r="S1156">
        <v>126.7647058823529</v>
      </c>
      <c r="T1156">
        <v>1</v>
      </c>
      <c r="U1156">
        <v>1</v>
      </c>
      <c r="V1156">
        <v>0</v>
      </c>
      <c r="W1156">
        <v>7.676009932028887</v>
      </c>
      <c r="X1156">
        <v>0</v>
      </c>
    </row>
    <row r="1157" spans="1:24">
      <c r="A1157" t="s">
        <v>3510</v>
      </c>
      <c r="B1157" t="s">
        <v>3511</v>
      </c>
      <c r="C1157" t="s">
        <v>26</v>
      </c>
      <c r="D1157">
        <v>0.534</v>
      </c>
      <c r="E1157">
        <v>2166</v>
      </c>
      <c r="F1157">
        <v>19</v>
      </c>
      <c r="G1157" t="s">
        <v>47</v>
      </c>
      <c r="H1157" t="s">
        <v>3512</v>
      </c>
      <c r="I1157" t="s">
        <v>43</v>
      </c>
      <c r="J1157" t="s">
        <v>31</v>
      </c>
      <c r="K1157" t="s">
        <v>30</v>
      </c>
      <c r="L1157" t="s">
        <v>38</v>
      </c>
      <c r="M1157" t="s">
        <v>83</v>
      </c>
      <c r="N1157">
        <v>0</v>
      </c>
      <c r="O1157">
        <v>5</v>
      </c>
      <c r="P1157">
        <v>0</v>
      </c>
      <c r="Q1157">
        <v>4056.179775280899</v>
      </c>
      <c r="R1157">
        <v>35.58052434456928</v>
      </c>
      <c r="S1157">
        <v>114</v>
      </c>
      <c r="T1157">
        <v>1</v>
      </c>
      <c r="U1157">
        <v>1</v>
      </c>
      <c r="V1157">
        <v>0</v>
      </c>
      <c r="W1157">
        <v>7.681099001536359</v>
      </c>
      <c r="X1157">
        <v>1</v>
      </c>
    </row>
    <row r="1158" spans="1:24">
      <c r="A1158" t="s">
        <v>3513</v>
      </c>
      <c r="B1158" t="s">
        <v>3514</v>
      </c>
      <c r="C1158" t="s">
        <v>26</v>
      </c>
      <c r="D1158">
        <v>5.591</v>
      </c>
      <c r="E1158">
        <v>5642</v>
      </c>
      <c r="F1158">
        <v>10</v>
      </c>
      <c r="G1158" t="s">
        <v>27</v>
      </c>
      <c r="H1158" t="s">
        <v>3515</v>
      </c>
      <c r="I1158" t="s">
        <v>29</v>
      </c>
      <c r="J1158" t="s">
        <v>30</v>
      </c>
      <c r="K1158" t="s">
        <v>30</v>
      </c>
      <c r="L1158" t="s">
        <v>30</v>
      </c>
      <c r="M1158" t="s">
        <v>83</v>
      </c>
      <c r="N1158">
        <v>0</v>
      </c>
      <c r="O1158">
        <v>5</v>
      </c>
      <c r="P1158">
        <v>0</v>
      </c>
      <c r="Q1158">
        <v>1009.121802897514</v>
      </c>
      <c r="R1158">
        <v>1.78858880343409</v>
      </c>
      <c r="S1158">
        <v>564.2</v>
      </c>
      <c r="T1158">
        <v>1</v>
      </c>
      <c r="U1158">
        <v>1</v>
      </c>
      <c r="V1158">
        <v>0</v>
      </c>
      <c r="W1158">
        <v>8.63817111796914</v>
      </c>
      <c r="X1158">
        <v>0</v>
      </c>
    </row>
    <row r="1159" spans="1:24">
      <c r="A1159" t="s">
        <v>3516</v>
      </c>
      <c r="B1159" t="s">
        <v>3517</v>
      </c>
      <c r="C1159" t="s">
        <v>26</v>
      </c>
      <c r="D1159">
        <v>1.278</v>
      </c>
      <c r="E1159">
        <v>1204</v>
      </c>
      <c r="F1159">
        <v>12</v>
      </c>
      <c r="G1159" t="s">
        <v>27</v>
      </c>
      <c r="H1159" t="s">
        <v>3518</v>
      </c>
      <c r="I1159" t="s">
        <v>29</v>
      </c>
      <c r="J1159" t="s">
        <v>30</v>
      </c>
      <c r="K1159" t="s">
        <v>30</v>
      </c>
      <c r="L1159" t="s">
        <v>30</v>
      </c>
      <c r="M1159" t="s">
        <v>39</v>
      </c>
      <c r="N1159">
        <v>0</v>
      </c>
      <c r="O1159">
        <v>5</v>
      </c>
      <c r="P1159">
        <v>0</v>
      </c>
      <c r="Q1159">
        <v>942.0970266040688</v>
      </c>
      <c r="R1159">
        <v>9.389671361502348</v>
      </c>
      <c r="S1159">
        <v>100.3333333333333</v>
      </c>
      <c r="T1159">
        <v>1</v>
      </c>
      <c r="U1159">
        <v>1</v>
      </c>
      <c r="V1159">
        <v>0</v>
      </c>
      <c r="W1159">
        <v>7.094234845924755</v>
      </c>
      <c r="X1159">
        <v>0</v>
      </c>
    </row>
    <row r="1160" spans="1:24">
      <c r="A1160" t="s">
        <v>3519</v>
      </c>
      <c r="B1160" t="s">
        <v>3520</v>
      </c>
      <c r="C1160" t="s">
        <v>130</v>
      </c>
      <c r="D1160">
        <v>4.731</v>
      </c>
      <c r="E1160">
        <v>4501</v>
      </c>
      <c r="F1160">
        <v>14</v>
      </c>
      <c r="G1160" t="s">
        <v>47</v>
      </c>
      <c r="H1160" t="s">
        <v>3521</v>
      </c>
      <c r="I1160" t="s">
        <v>29</v>
      </c>
      <c r="J1160" t="s">
        <v>31</v>
      </c>
      <c r="K1160" t="s">
        <v>38</v>
      </c>
      <c r="L1160" t="s">
        <v>31</v>
      </c>
      <c r="M1160" t="s">
        <v>44</v>
      </c>
      <c r="N1160">
        <v>0</v>
      </c>
      <c r="O1160">
        <v>5</v>
      </c>
      <c r="P1160">
        <v>0</v>
      </c>
      <c r="Q1160">
        <v>951.3844853096596</v>
      </c>
      <c r="R1160">
        <v>2.959205242020714</v>
      </c>
      <c r="S1160">
        <v>321.5</v>
      </c>
      <c r="T1160">
        <v>1</v>
      </c>
      <c r="U1160">
        <v>1</v>
      </c>
      <c r="V1160">
        <v>0</v>
      </c>
      <c r="W1160">
        <v>8.412277021466677</v>
      </c>
      <c r="X1160">
        <v>0</v>
      </c>
    </row>
    <row r="1161" spans="1:24">
      <c r="A1161" t="s">
        <v>3522</v>
      </c>
      <c r="B1161" t="s">
        <v>3523</v>
      </c>
      <c r="C1161" t="s">
        <v>26</v>
      </c>
      <c r="D1161">
        <v>4.536</v>
      </c>
      <c r="E1161">
        <v>531</v>
      </c>
      <c r="F1161">
        <v>21</v>
      </c>
      <c r="G1161" t="s">
        <v>47</v>
      </c>
      <c r="H1161" t="s">
        <v>3524</v>
      </c>
      <c r="I1161" t="s">
        <v>29</v>
      </c>
      <c r="J1161" t="s">
        <v>31</v>
      </c>
      <c r="K1161" t="s">
        <v>30</v>
      </c>
      <c r="L1161" t="s">
        <v>30</v>
      </c>
      <c r="M1161" t="s">
        <v>97</v>
      </c>
      <c r="N1161">
        <v>0</v>
      </c>
      <c r="O1161">
        <v>5</v>
      </c>
      <c r="P1161">
        <v>0</v>
      </c>
      <c r="Q1161">
        <v>117.0634920634921</v>
      </c>
      <c r="R1161">
        <v>4.62962962962963</v>
      </c>
      <c r="S1161">
        <v>25.28571428571428</v>
      </c>
      <c r="T1161">
        <v>1</v>
      </c>
      <c r="U1161">
        <v>1</v>
      </c>
      <c r="V1161">
        <v>0</v>
      </c>
      <c r="W1161">
        <v>6.276643489341645</v>
      </c>
      <c r="X1161">
        <v>0</v>
      </c>
    </row>
    <row r="1162" spans="1:24">
      <c r="A1162" t="s">
        <v>3525</v>
      </c>
      <c r="B1162" t="s">
        <v>3526</v>
      </c>
      <c r="C1162" t="s">
        <v>130</v>
      </c>
      <c r="D1162">
        <v>2.256</v>
      </c>
      <c r="E1162">
        <v>1005</v>
      </c>
      <c r="F1162">
        <v>11</v>
      </c>
      <c r="G1162" t="s">
        <v>36</v>
      </c>
      <c r="H1162" t="s">
        <v>3527</v>
      </c>
      <c r="I1162" t="s">
        <v>29</v>
      </c>
      <c r="J1162" t="s">
        <v>38</v>
      </c>
      <c r="K1162" t="s">
        <v>31</v>
      </c>
      <c r="L1162" t="s">
        <v>31</v>
      </c>
      <c r="M1162" t="s">
        <v>44</v>
      </c>
      <c r="N1162">
        <v>0</v>
      </c>
      <c r="O1162">
        <v>5</v>
      </c>
      <c r="P1162">
        <v>0</v>
      </c>
      <c r="Q1162">
        <v>445.4787234042553</v>
      </c>
      <c r="R1162">
        <v>4.875886524822696</v>
      </c>
      <c r="S1162">
        <v>91.36363636363636</v>
      </c>
      <c r="T1162">
        <v>1</v>
      </c>
      <c r="U1162">
        <v>1</v>
      </c>
      <c r="V1162">
        <v>0</v>
      </c>
      <c r="W1162">
        <v>6.913737350659685</v>
      </c>
      <c r="X1162">
        <v>0</v>
      </c>
    </row>
    <row r="1163" spans="1:24">
      <c r="A1163" t="s">
        <v>3528</v>
      </c>
      <c r="B1163" t="s">
        <v>3529</v>
      </c>
      <c r="C1163" t="s">
        <v>35</v>
      </c>
      <c r="D1163">
        <v>5.477</v>
      </c>
      <c r="E1163">
        <v>5304</v>
      </c>
      <c r="F1163">
        <v>17</v>
      </c>
      <c r="G1163" t="s">
        <v>47</v>
      </c>
      <c r="H1163" t="s">
        <v>3530</v>
      </c>
      <c r="I1163" t="s">
        <v>29</v>
      </c>
      <c r="J1163" t="s">
        <v>31</v>
      </c>
      <c r="K1163" t="s">
        <v>31</v>
      </c>
      <c r="L1163" t="s">
        <v>30</v>
      </c>
      <c r="M1163" t="s">
        <v>44</v>
      </c>
      <c r="N1163">
        <v>0</v>
      </c>
      <c r="O1163">
        <v>5</v>
      </c>
      <c r="P1163">
        <v>0</v>
      </c>
      <c r="Q1163">
        <v>968.4133649808288</v>
      </c>
      <c r="R1163">
        <v>3.103888990323169</v>
      </c>
      <c r="S1163">
        <v>312</v>
      </c>
      <c r="T1163">
        <v>1</v>
      </c>
      <c r="U1163">
        <v>1</v>
      </c>
      <c r="V1163">
        <v>0</v>
      </c>
      <c r="W1163">
        <v>8.576405051048084</v>
      </c>
      <c r="X1163">
        <v>0</v>
      </c>
    </row>
    <row r="1164" spans="1:24">
      <c r="A1164" t="s">
        <v>3531</v>
      </c>
      <c r="B1164" t="s">
        <v>3532</v>
      </c>
      <c r="C1164" t="s">
        <v>26</v>
      </c>
      <c r="D1164">
        <v>6.895</v>
      </c>
      <c r="E1164">
        <v>2831</v>
      </c>
      <c r="F1164">
        <v>15</v>
      </c>
      <c r="G1164" t="s">
        <v>36</v>
      </c>
      <c r="H1164" t="s">
        <v>3533</v>
      </c>
      <c r="I1164" t="s">
        <v>29</v>
      </c>
      <c r="J1164" t="s">
        <v>38</v>
      </c>
      <c r="K1164" t="s">
        <v>30</v>
      </c>
      <c r="L1164" t="s">
        <v>30</v>
      </c>
      <c r="M1164" t="s">
        <v>97</v>
      </c>
      <c r="N1164">
        <v>0</v>
      </c>
      <c r="O1164">
        <v>5</v>
      </c>
      <c r="P1164">
        <v>0</v>
      </c>
      <c r="Q1164">
        <v>410.5873821609862</v>
      </c>
      <c r="R1164">
        <v>2.175489485134156</v>
      </c>
      <c r="S1164">
        <v>188.7333333333333</v>
      </c>
      <c r="T1164">
        <v>1</v>
      </c>
      <c r="U1164">
        <v>1</v>
      </c>
      <c r="V1164">
        <v>0</v>
      </c>
      <c r="W1164">
        <v>7.94873845481361</v>
      </c>
      <c r="X1164">
        <v>0</v>
      </c>
    </row>
    <row r="1165" spans="1:24">
      <c r="A1165" t="s">
        <v>3534</v>
      </c>
      <c r="B1165" t="s">
        <v>3535</v>
      </c>
      <c r="C1165" t="s">
        <v>26</v>
      </c>
      <c r="D1165">
        <v>3.406</v>
      </c>
      <c r="E1165">
        <v>3706</v>
      </c>
      <c r="F1165">
        <v>17</v>
      </c>
      <c r="G1165" t="s">
        <v>62</v>
      </c>
      <c r="H1165" t="s">
        <v>3536</v>
      </c>
      <c r="I1165" t="s">
        <v>29</v>
      </c>
      <c r="J1165" t="s">
        <v>30</v>
      </c>
      <c r="K1165" t="s">
        <v>31</v>
      </c>
      <c r="L1165" t="s">
        <v>30</v>
      </c>
      <c r="M1165" t="s">
        <v>97</v>
      </c>
      <c r="N1165">
        <v>0</v>
      </c>
      <c r="O1165">
        <v>5</v>
      </c>
      <c r="P1165">
        <v>0</v>
      </c>
      <c r="Q1165">
        <v>1088.079859072225</v>
      </c>
      <c r="R1165">
        <v>4.991192014092777</v>
      </c>
      <c r="S1165">
        <v>218</v>
      </c>
      <c r="T1165">
        <v>1</v>
      </c>
      <c r="U1165">
        <v>1</v>
      </c>
      <c r="V1165">
        <v>0</v>
      </c>
      <c r="W1165">
        <v>8.217978203150732</v>
      </c>
      <c r="X1165">
        <v>0</v>
      </c>
    </row>
    <row r="1166" spans="1:24">
      <c r="A1166" t="s">
        <v>3537</v>
      </c>
      <c r="B1166" t="s">
        <v>3538</v>
      </c>
      <c r="C1166" t="s">
        <v>35</v>
      </c>
      <c r="D1166">
        <v>2.855</v>
      </c>
      <c r="E1166">
        <v>8761</v>
      </c>
      <c r="F1166">
        <v>14</v>
      </c>
      <c r="G1166" t="s">
        <v>36</v>
      </c>
      <c r="H1166" t="s">
        <v>3539</v>
      </c>
      <c r="I1166" t="s">
        <v>29</v>
      </c>
      <c r="J1166" t="s">
        <v>38</v>
      </c>
      <c r="K1166" t="s">
        <v>31</v>
      </c>
      <c r="L1166" t="s">
        <v>30</v>
      </c>
      <c r="M1166" t="s">
        <v>44</v>
      </c>
      <c r="N1166">
        <v>1</v>
      </c>
      <c r="O1166">
        <v>5</v>
      </c>
      <c r="P1166">
        <v>0</v>
      </c>
      <c r="Q1166">
        <v>3068.651488616462</v>
      </c>
      <c r="R1166">
        <v>4.903677758318739</v>
      </c>
      <c r="S1166">
        <v>625.7857142857143</v>
      </c>
      <c r="T1166">
        <v>1</v>
      </c>
      <c r="U1166">
        <v>1</v>
      </c>
      <c r="V1166">
        <v>0</v>
      </c>
      <c r="W1166">
        <v>9.078179468373843</v>
      </c>
      <c r="X1166">
        <v>0</v>
      </c>
    </row>
    <row r="1167" spans="1:24">
      <c r="A1167" t="s">
        <v>3540</v>
      </c>
      <c r="B1167" t="s">
        <v>3541</v>
      </c>
      <c r="C1167" t="s">
        <v>26</v>
      </c>
      <c r="D1167">
        <v>5.116</v>
      </c>
      <c r="E1167">
        <v>2097</v>
      </c>
      <c r="F1167">
        <v>17</v>
      </c>
      <c r="G1167" t="s">
        <v>62</v>
      </c>
      <c r="H1167" t="s">
        <v>3542</v>
      </c>
      <c r="I1167" t="s">
        <v>29</v>
      </c>
      <c r="J1167" t="s">
        <v>30</v>
      </c>
      <c r="K1167" t="s">
        <v>31</v>
      </c>
      <c r="L1167" t="s">
        <v>30</v>
      </c>
      <c r="M1167" t="s">
        <v>97</v>
      </c>
      <c r="N1167">
        <v>1</v>
      </c>
      <c r="O1167">
        <v>5</v>
      </c>
      <c r="P1167">
        <v>0</v>
      </c>
      <c r="Q1167">
        <v>409.8905394839719</v>
      </c>
      <c r="R1167">
        <v>3.322908522283034</v>
      </c>
      <c r="S1167">
        <v>123.3529411764706</v>
      </c>
      <c r="T1167">
        <v>1</v>
      </c>
      <c r="U1167">
        <v>1</v>
      </c>
      <c r="V1167">
        <v>0</v>
      </c>
      <c r="W1167">
        <v>7.648739788956242</v>
      </c>
      <c r="X1167">
        <v>0</v>
      </c>
    </row>
    <row r="1168" spans="1:24">
      <c r="A1168" t="s">
        <v>3543</v>
      </c>
      <c r="B1168" t="s">
        <v>3544</v>
      </c>
      <c r="C1168" t="s">
        <v>26</v>
      </c>
      <c r="D1168">
        <v>2.009</v>
      </c>
      <c r="E1168">
        <v>7703</v>
      </c>
      <c r="F1168">
        <v>23</v>
      </c>
      <c r="G1168" t="s">
        <v>47</v>
      </c>
      <c r="H1168" t="s">
        <v>3545</v>
      </c>
      <c r="I1168" t="s">
        <v>29</v>
      </c>
      <c r="J1168" t="s">
        <v>31</v>
      </c>
      <c r="K1168" t="s">
        <v>31</v>
      </c>
      <c r="L1168" t="s">
        <v>31</v>
      </c>
      <c r="M1168" t="s">
        <v>44</v>
      </c>
      <c r="N1168">
        <v>1</v>
      </c>
      <c r="O1168">
        <v>5</v>
      </c>
      <c r="P1168">
        <v>0</v>
      </c>
      <c r="Q1168">
        <v>3834.245893479343</v>
      </c>
      <c r="R1168">
        <v>11.44848183175709</v>
      </c>
      <c r="S1168">
        <v>334.9130434782609</v>
      </c>
      <c r="T1168">
        <v>1</v>
      </c>
      <c r="U1168">
        <v>1</v>
      </c>
      <c r="V1168">
        <v>0</v>
      </c>
      <c r="W1168">
        <v>8.949494953477961</v>
      </c>
      <c r="X1168">
        <v>0</v>
      </c>
    </row>
    <row r="1169" spans="1:24">
      <c r="A1169" t="s">
        <v>3546</v>
      </c>
      <c r="B1169" t="s">
        <v>3547</v>
      </c>
      <c r="C1169" t="s">
        <v>35</v>
      </c>
      <c r="D1169">
        <v>2.619</v>
      </c>
      <c r="E1169">
        <v>6411</v>
      </c>
      <c r="F1169">
        <v>25</v>
      </c>
      <c r="G1169" t="s">
        <v>27</v>
      </c>
      <c r="H1169" t="s">
        <v>3548</v>
      </c>
      <c r="I1169" t="s">
        <v>29</v>
      </c>
      <c r="J1169" t="s">
        <v>30</v>
      </c>
      <c r="K1169" t="s">
        <v>31</v>
      </c>
      <c r="L1169" t="s">
        <v>31</v>
      </c>
      <c r="M1169" t="s">
        <v>97</v>
      </c>
      <c r="N1169">
        <v>1</v>
      </c>
      <c r="O1169">
        <v>5</v>
      </c>
      <c r="P1169">
        <v>0</v>
      </c>
      <c r="Q1169">
        <v>2447.880870561283</v>
      </c>
      <c r="R1169">
        <v>9.545628102329133</v>
      </c>
      <c r="S1169">
        <v>256.44</v>
      </c>
      <c r="T1169">
        <v>1</v>
      </c>
      <c r="U1169">
        <v>1</v>
      </c>
      <c r="V1169">
        <v>0</v>
      </c>
      <c r="W1169">
        <v>8.765926513729443</v>
      </c>
      <c r="X1169">
        <v>0</v>
      </c>
    </row>
    <row r="1170" spans="1:24">
      <c r="A1170" t="s">
        <v>3549</v>
      </c>
      <c r="B1170" t="s">
        <v>3550</v>
      </c>
      <c r="C1170" t="s">
        <v>35</v>
      </c>
      <c r="D1170">
        <v>0.543</v>
      </c>
      <c r="E1170">
        <v>165</v>
      </c>
      <c r="F1170">
        <v>12</v>
      </c>
      <c r="G1170" t="s">
        <v>47</v>
      </c>
      <c r="H1170" t="s">
        <v>3551</v>
      </c>
      <c r="I1170" t="s">
        <v>29</v>
      </c>
      <c r="J1170" t="s">
        <v>31</v>
      </c>
      <c r="K1170" t="s">
        <v>30</v>
      </c>
      <c r="L1170" t="s">
        <v>38</v>
      </c>
      <c r="M1170" t="s">
        <v>97</v>
      </c>
      <c r="N1170">
        <v>1</v>
      </c>
      <c r="O1170">
        <v>5</v>
      </c>
      <c r="P1170">
        <v>0</v>
      </c>
      <c r="Q1170">
        <v>303.8674033149171</v>
      </c>
      <c r="R1170">
        <v>22.09944751381215</v>
      </c>
      <c r="S1170">
        <v>13.75</v>
      </c>
      <c r="T1170">
        <v>1</v>
      </c>
      <c r="U1170">
        <v>1</v>
      </c>
      <c r="V1170">
        <v>0</v>
      </c>
      <c r="W1170">
        <v>5.111987788356544</v>
      </c>
      <c r="X1170">
        <v>0</v>
      </c>
    </row>
    <row r="1171" spans="1:24">
      <c r="A1171" t="s">
        <v>3552</v>
      </c>
      <c r="B1171" t="s">
        <v>3553</v>
      </c>
      <c r="C1171" t="s">
        <v>35</v>
      </c>
      <c r="D1171">
        <v>1.523</v>
      </c>
      <c r="E1171">
        <v>3664</v>
      </c>
      <c r="F1171">
        <v>14</v>
      </c>
      <c r="G1171" t="s">
        <v>47</v>
      </c>
      <c r="H1171" t="s">
        <v>3554</v>
      </c>
      <c r="I1171" t="s">
        <v>29</v>
      </c>
      <c r="J1171" t="s">
        <v>31</v>
      </c>
      <c r="K1171" t="s">
        <v>30</v>
      </c>
      <c r="L1171" t="s">
        <v>30</v>
      </c>
      <c r="M1171" t="s">
        <v>44</v>
      </c>
      <c r="N1171">
        <v>1</v>
      </c>
      <c r="O1171">
        <v>5</v>
      </c>
      <c r="P1171">
        <v>0</v>
      </c>
      <c r="Q1171">
        <v>2405.778069599475</v>
      </c>
      <c r="R1171">
        <v>9.192383453709784</v>
      </c>
      <c r="S1171">
        <v>261.7142857142857</v>
      </c>
      <c r="T1171">
        <v>1</v>
      </c>
      <c r="U1171">
        <v>1</v>
      </c>
      <c r="V1171">
        <v>0</v>
      </c>
      <c r="W1171">
        <v>8.206583614320753</v>
      </c>
      <c r="X1171">
        <v>0</v>
      </c>
    </row>
    <row r="1172" spans="1:24">
      <c r="A1172" t="s">
        <v>3555</v>
      </c>
      <c r="B1172" t="s">
        <v>3556</v>
      </c>
      <c r="C1172" t="s">
        <v>35</v>
      </c>
      <c r="D1172">
        <v>1.289</v>
      </c>
      <c r="E1172">
        <v>2498</v>
      </c>
      <c r="F1172">
        <v>26</v>
      </c>
      <c r="G1172" t="s">
        <v>27</v>
      </c>
      <c r="H1172" t="s">
        <v>3557</v>
      </c>
      <c r="I1172" t="s">
        <v>29</v>
      </c>
      <c r="J1172" t="s">
        <v>30</v>
      </c>
      <c r="K1172" t="s">
        <v>30</v>
      </c>
      <c r="L1172" t="s">
        <v>30</v>
      </c>
      <c r="M1172" t="s">
        <v>32</v>
      </c>
      <c r="N1172">
        <v>1</v>
      </c>
      <c r="O1172">
        <v>5</v>
      </c>
      <c r="P1172">
        <v>0</v>
      </c>
      <c r="Q1172">
        <v>1937.936384794414</v>
      </c>
      <c r="R1172">
        <v>20.17067494181536</v>
      </c>
      <c r="S1172">
        <v>96.07692307692308</v>
      </c>
      <c r="T1172">
        <v>1</v>
      </c>
      <c r="U1172">
        <v>1</v>
      </c>
      <c r="V1172">
        <v>0</v>
      </c>
      <c r="W1172">
        <v>7.823645930834952</v>
      </c>
      <c r="X1172">
        <v>0</v>
      </c>
    </row>
    <row r="1173" spans="1:24">
      <c r="A1173" t="s">
        <v>3558</v>
      </c>
      <c r="B1173" t="s">
        <v>3559</v>
      </c>
      <c r="C1173" t="s">
        <v>35</v>
      </c>
      <c r="D1173">
        <v>3.325</v>
      </c>
      <c r="E1173">
        <v>3194</v>
      </c>
      <c r="F1173">
        <v>20</v>
      </c>
      <c r="G1173" t="s">
        <v>62</v>
      </c>
      <c r="H1173" t="s">
        <v>3560</v>
      </c>
      <c r="I1173" t="s">
        <v>29</v>
      </c>
      <c r="J1173" t="s">
        <v>30</v>
      </c>
      <c r="K1173" t="s">
        <v>31</v>
      </c>
      <c r="L1173" t="s">
        <v>30</v>
      </c>
      <c r="M1173" t="s">
        <v>32</v>
      </c>
      <c r="N1173">
        <v>1</v>
      </c>
      <c r="O1173">
        <v>5</v>
      </c>
      <c r="P1173">
        <v>0</v>
      </c>
      <c r="Q1173">
        <v>960.6015037593984</v>
      </c>
      <c r="R1173">
        <v>6.015037593984962</v>
      </c>
      <c r="S1173">
        <v>159.7</v>
      </c>
      <c r="T1173">
        <v>1</v>
      </c>
      <c r="U1173">
        <v>1</v>
      </c>
      <c r="V1173">
        <v>0</v>
      </c>
      <c r="W1173">
        <v>8.069342366811636</v>
      </c>
      <c r="X1173">
        <v>0</v>
      </c>
    </row>
    <row r="1174" spans="1:24">
      <c r="A1174" t="s">
        <v>3561</v>
      </c>
      <c r="B1174" t="s">
        <v>3562</v>
      </c>
      <c r="C1174" t="s">
        <v>35</v>
      </c>
      <c r="D1174">
        <v>5.449</v>
      </c>
      <c r="E1174">
        <v>1599</v>
      </c>
      <c r="F1174">
        <v>19</v>
      </c>
      <c r="G1174" t="s">
        <v>36</v>
      </c>
      <c r="H1174" t="s">
        <v>3563</v>
      </c>
      <c r="I1174" t="s">
        <v>29</v>
      </c>
      <c r="J1174" t="s">
        <v>38</v>
      </c>
      <c r="K1174" t="s">
        <v>31</v>
      </c>
      <c r="L1174" t="s">
        <v>31</v>
      </c>
      <c r="M1174" t="s">
        <v>44</v>
      </c>
      <c r="N1174">
        <v>1</v>
      </c>
      <c r="O1174">
        <v>5</v>
      </c>
      <c r="P1174">
        <v>0</v>
      </c>
      <c r="Q1174">
        <v>293.4483391447972</v>
      </c>
      <c r="R1174">
        <v>3.486878326298404</v>
      </c>
      <c r="S1174">
        <v>84.15789473684211</v>
      </c>
      <c r="T1174">
        <v>1</v>
      </c>
      <c r="U1174">
        <v>1</v>
      </c>
      <c r="V1174">
        <v>0</v>
      </c>
      <c r="W1174">
        <v>7.377758908227872</v>
      </c>
      <c r="X1174">
        <v>0</v>
      </c>
    </row>
    <row r="1175" spans="1:24">
      <c r="A1175" t="s">
        <v>3564</v>
      </c>
      <c r="B1175" t="s">
        <v>3565</v>
      </c>
      <c r="C1175" t="s">
        <v>35</v>
      </c>
      <c r="D1175">
        <v>2.794</v>
      </c>
      <c r="E1175">
        <v>3496</v>
      </c>
      <c r="F1175">
        <v>19</v>
      </c>
      <c r="G1175" t="s">
        <v>47</v>
      </c>
      <c r="H1175" t="s">
        <v>3566</v>
      </c>
      <c r="I1175" t="s">
        <v>29</v>
      </c>
      <c r="J1175" t="s">
        <v>31</v>
      </c>
      <c r="K1175" t="s">
        <v>31</v>
      </c>
      <c r="L1175" t="s">
        <v>30</v>
      </c>
      <c r="M1175" t="s">
        <v>32</v>
      </c>
      <c r="N1175">
        <v>1</v>
      </c>
      <c r="O1175">
        <v>5</v>
      </c>
      <c r="P1175">
        <v>0</v>
      </c>
      <c r="Q1175">
        <v>1251.252684323551</v>
      </c>
      <c r="R1175">
        <v>6.800286327845383</v>
      </c>
      <c r="S1175">
        <v>184</v>
      </c>
      <c r="T1175">
        <v>1</v>
      </c>
      <c r="U1175">
        <v>1</v>
      </c>
      <c r="V1175">
        <v>0</v>
      </c>
      <c r="W1175">
        <v>8.159660737063376</v>
      </c>
      <c r="X1175">
        <v>0</v>
      </c>
    </row>
    <row r="1176" spans="1:24">
      <c r="A1176" t="s">
        <v>3567</v>
      </c>
      <c r="B1176" t="s">
        <v>3568</v>
      </c>
      <c r="C1176" t="s">
        <v>35</v>
      </c>
      <c r="D1176">
        <v>2.494</v>
      </c>
      <c r="E1176">
        <v>1719</v>
      </c>
      <c r="F1176">
        <v>22</v>
      </c>
      <c r="G1176" t="s">
        <v>62</v>
      </c>
      <c r="H1176" t="s">
        <v>3569</v>
      </c>
      <c r="I1176" t="s">
        <v>29</v>
      </c>
      <c r="J1176" t="s">
        <v>30</v>
      </c>
      <c r="K1176" t="s">
        <v>30</v>
      </c>
      <c r="L1176" t="s">
        <v>38</v>
      </c>
      <c r="M1176" t="s">
        <v>39</v>
      </c>
      <c r="N1176">
        <v>1</v>
      </c>
      <c r="O1176">
        <v>5</v>
      </c>
      <c r="P1176">
        <v>0</v>
      </c>
      <c r="Q1176">
        <v>689.2542101042501</v>
      </c>
      <c r="R1176">
        <v>8.821170809943865</v>
      </c>
      <c r="S1176">
        <v>78.13636363636364</v>
      </c>
      <c r="T1176">
        <v>1</v>
      </c>
      <c r="U1176">
        <v>1</v>
      </c>
      <c r="V1176">
        <v>0</v>
      </c>
      <c r="W1176">
        <v>7.450079569807499</v>
      </c>
      <c r="X1176">
        <v>0</v>
      </c>
    </row>
    <row r="1177" spans="1:24">
      <c r="A1177" t="s">
        <v>3570</v>
      </c>
      <c r="B1177" t="s">
        <v>3571</v>
      </c>
      <c r="C1177" t="s">
        <v>35</v>
      </c>
      <c r="D1177">
        <v>2.175</v>
      </c>
      <c r="E1177">
        <v>2969</v>
      </c>
      <c r="F1177">
        <v>17</v>
      </c>
      <c r="G1177" t="s">
        <v>27</v>
      </c>
      <c r="H1177" t="s">
        <v>3572</v>
      </c>
      <c r="I1177" t="s">
        <v>29</v>
      </c>
      <c r="J1177" t="s">
        <v>30</v>
      </c>
      <c r="K1177" t="s">
        <v>31</v>
      </c>
      <c r="L1177" t="s">
        <v>31</v>
      </c>
      <c r="M1177" t="s">
        <v>44</v>
      </c>
      <c r="N1177">
        <v>1</v>
      </c>
      <c r="O1177">
        <v>5</v>
      </c>
      <c r="P1177">
        <v>0</v>
      </c>
      <c r="Q1177">
        <v>1365.057471264368</v>
      </c>
      <c r="R1177">
        <v>7.816091954022989</v>
      </c>
      <c r="S1177">
        <v>174.6470588235294</v>
      </c>
      <c r="T1177">
        <v>1</v>
      </c>
      <c r="U1177">
        <v>1</v>
      </c>
      <c r="V1177">
        <v>0</v>
      </c>
      <c r="W1177">
        <v>7.996317231796746</v>
      </c>
      <c r="X1177">
        <v>0</v>
      </c>
    </row>
    <row r="1178" spans="1:24">
      <c r="A1178" t="s">
        <v>3573</v>
      </c>
      <c r="B1178" t="s">
        <v>3574</v>
      </c>
      <c r="C1178" t="s">
        <v>52</v>
      </c>
      <c r="D1178">
        <v>4.711</v>
      </c>
      <c r="E1178">
        <v>1098</v>
      </c>
      <c r="F1178">
        <v>25</v>
      </c>
      <c r="G1178" t="s">
        <v>36</v>
      </c>
      <c r="H1178" t="s">
        <v>3575</v>
      </c>
      <c r="I1178" t="s">
        <v>29</v>
      </c>
      <c r="J1178" t="s">
        <v>38</v>
      </c>
      <c r="K1178" t="s">
        <v>31</v>
      </c>
      <c r="L1178" t="s">
        <v>31</v>
      </c>
      <c r="M1178" t="s">
        <v>44</v>
      </c>
      <c r="N1178">
        <v>2</v>
      </c>
      <c r="O1178">
        <v>5</v>
      </c>
      <c r="P1178">
        <v>0</v>
      </c>
      <c r="Q1178">
        <v>233.0715347060072</v>
      </c>
      <c r="R1178">
        <v>5.306728932286139</v>
      </c>
      <c r="S1178">
        <v>43.92</v>
      </c>
      <c r="T1178">
        <v>1</v>
      </c>
      <c r="U1178">
        <v>1</v>
      </c>
      <c r="V1178">
        <v>0</v>
      </c>
      <c r="W1178">
        <v>7.002155954403621</v>
      </c>
      <c r="X1178">
        <v>0</v>
      </c>
    </row>
    <row r="1179" spans="1:24">
      <c r="A1179" t="s">
        <v>3576</v>
      </c>
      <c r="B1179" t="s">
        <v>3577</v>
      </c>
      <c r="C1179" t="s">
        <v>26</v>
      </c>
      <c r="D1179">
        <v>1.215</v>
      </c>
      <c r="E1179">
        <v>2550</v>
      </c>
      <c r="F1179">
        <v>13</v>
      </c>
      <c r="G1179" t="s">
        <v>36</v>
      </c>
      <c r="H1179" t="s">
        <v>3578</v>
      </c>
      <c r="I1179" t="s">
        <v>29</v>
      </c>
      <c r="J1179" t="s">
        <v>38</v>
      </c>
      <c r="K1179" t="s">
        <v>30</v>
      </c>
      <c r="L1179" t="s">
        <v>30</v>
      </c>
      <c r="M1179" t="s">
        <v>97</v>
      </c>
      <c r="N1179">
        <v>2</v>
      </c>
      <c r="O1179">
        <v>5</v>
      </c>
      <c r="P1179">
        <v>0</v>
      </c>
      <c r="Q1179">
        <v>2098.765432098765</v>
      </c>
      <c r="R1179">
        <v>10.69958847736626</v>
      </c>
      <c r="S1179">
        <v>196.1538461538462</v>
      </c>
      <c r="T1179">
        <v>1</v>
      </c>
      <c r="U1179">
        <v>1</v>
      </c>
      <c r="V1179">
        <v>0</v>
      </c>
      <c r="W1179">
        <v>7.844240718141811</v>
      </c>
      <c r="X1179">
        <v>0</v>
      </c>
    </row>
    <row r="1180" spans="1:24">
      <c r="A1180" t="s">
        <v>3579</v>
      </c>
      <c r="B1180" t="s">
        <v>3580</v>
      </c>
      <c r="C1180" t="s">
        <v>35</v>
      </c>
      <c r="D1180">
        <v>1.677</v>
      </c>
      <c r="E1180">
        <v>402</v>
      </c>
      <c r="F1180">
        <v>13</v>
      </c>
      <c r="G1180" t="s">
        <v>62</v>
      </c>
      <c r="H1180" t="s">
        <v>3581</v>
      </c>
      <c r="I1180" t="s">
        <v>29</v>
      </c>
      <c r="J1180" t="s">
        <v>30</v>
      </c>
      <c r="K1180" t="s">
        <v>31</v>
      </c>
      <c r="L1180" t="s">
        <v>31</v>
      </c>
      <c r="M1180" t="s">
        <v>76</v>
      </c>
      <c r="N1180">
        <v>2</v>
      </c>
      <c r="O1180">
        <v>5</v>
      </c>
      <c r="P1180">
        <v>0</v>
      </c>
      <c r="Q1180">
        <v>239.7137745974956</v>
      </c>
      <c r="R1180">
        <v>7.751937984496124</v>
      </c>
      <c r="S1180">
        <v>30.92307692307692</v>
      </c>
      <c r="T1180">
        <v>1</v>
      </c>
      <c r="U1180">
        <v>1</v>
      </c>
      <c r="V1180">
        <v>0</v>
      </c>
      <c r="W1180">
        <v>5.998936561946683</v>
      </c>
      <c r="X1180">
        <v>0</v>
      </c>
    </row>
    <row r="1181" spans="1:24">
      <c r="A1181" t="s">
        <v>3582</v>
      </c>
      <c r="B1181" t="s">
        <v>3583</v>
      </c>
      <c r="C1181" t="s">
        <v>26</v>
      </c>
      <c r="D1181">
        <v>2.606</v>
      </c>
      <c r="E1181">
        <v>601</v>
      </c>
      <c r="F1181">
        <v>13</v>
      </c>
      <c r="G1181" t="s">
        <v>62</v>
      </c>
      <c r="H1181" t="s">
        <v>3584</v>
      </c>
      <c r="I1181" t="s">
        <v>29</v>
      </c>
      <c r="J1181" t="s">
        <v>30</v>
      </c>
      <c r="K1181" t="s">
        <v>30</v>
      </c>
      <c r="L1181" t="s">
        <v>31</v>
      </c>
      <c r="M1181" t="s">
        <v>83</v>
      </c>
      <c r="N1181">
        <v>2</v>
      </c>
      <c r="O1181">
        <v>5</v>
      </c>
      <c r="P1181">
        <v>0</v>
      </c>
      <c r="Q1181">
        <v>230.6216423637759</v>
      </c>
      <c r="R1181">
        <v>4.988488104374521</v>
      </c>
      <c r="S1181">
        <v>46.23076923076923</v>
      </c>
      <c r="T1181">
        <v>1</v>
      </c>
      <c r="U1181">
        <v>1</v>
      </c>
      <c r="V1181">
        <v>0</v>
      </c>
      <c r="W1181">
        <v>6.400257445308821</v>
      </c>
      <c r="X1181">
        <v>0</v>
      </c>
    </row>
    <row r="1182" spans="1:24">
      <c r="A1182" t="s">
        <v>3585</v>
      </c>
      <c r="B1182" t="s">
        <v>3586</v>
      </c>
      <c r="C1182" t="s">
        <v>35</v>
      </c>
      <c r="D1182">
        <v>9.178000000000001</v>
      </c>
      <c r="E1182">
        <v>876</v>
      </c>
      <c r="F1182">
        <v>21</v>
      </c>
      <c r="G1182" t="s">
        <v>36</v>
      </c>
      <c r="H1182" t="s">
        <v>3587</v>
      </c>
      <c r="I1182" t="s">
        <v>29</v>
      </c>
      <c r="J1182" t="s">
        <v>38</v>
      </c>
      <c r="K1182" t="s">
        <v>30</v>
      </c>
      <c r="L1182" t="s">
        <v>30</v>
      </c>
      <c r="M1182" t="s">
        <v>39</v>
      </c>
      <c r="N1182">
        <v>2</v>
      </c>
      <c r="O1182">
        <v>5</v>
      </c>
      <c r="P1182">
        <v>0</v>
      </c>
      <c r="Q1182">
        <v>95.44563085639572</v>
      </c>
      <c r="R1182">
        <v>2.288080191762911</v>
      </c>
      <c r="S1182">
        <v>41.71428571428572</v>
      </c>
      <c r="T1182">
        <v>1</v>
      </c>
      <c r="U1182">
        <v>1</v>
      </c>
      <c r="V1182">
        <v>0</v>
      </c>
      <c r="W1182">
        <v>6.776506992372183</v>
      </c>
      <c r="X1182">
        <v>0</v>
      </c>
    </row>
    <row r="1183" spans="1:24">
      <c r="A1183" t="s">
        <v>3588</v>
      </c>
      <c r="B1183" t="s">
        <v>3589</v>
      </c>
      <c r="C1183" t="s">
        <v>35</v>
      </c>
      <c r="D1183">
        <v>3.183</v>
      </c>
      <c r="E1183">
        <v>3078</v>
      </c>
      <c r="F1183">
        <v>22</v>
      </c>
      <c r="G1183" t="s">
        <v>36</v>
      </c>
      <c r="H1183" t="s">
        <v>3590</v>
      </c>
      <c r="I1183" t="s">
        <v>29</v>
      </c>
      <c r="J1183" t="s">
        <v>38</v>
      </c>
      <c r="K1183" t="s">
        <v>31</v>
      </c>
      <c r="L1183" t="s">
        <v>31</v>
      </c>
      <c r="M1183" t="s">
        <v>32</v>
      </c>
      <c r="N1183">
        <v>2</v>
      </c>
      <c r="O1183">
        <v>5</v>
      </c>
      <c r="P1183">
        <v>0</v>
      </c>
      <c r="Q1183">
        <v>967.0122525918944</v>
      </c>
      <c r="R1183">
        <v>6.911718504555451</v>
      </c>
      <c r="S1183">
        <v>139.9090909090909</v>
      </c>
      <c r="T1183">
        <v>1</v>
      </c>
      <c r="U1183">
        <v>1</v>
      </c>
      <c r="V1183">
        <v>0</v>
      </c>
      <c r="W1183">
        <v>8.0323601479245</v>
      </c>
      <c r="X1183">
        <v>0</v>
      </c>
    </row>
    <row r="1184" spans="1:24">
      <c r="A1184" t="s">
        <v>3591</v>
      </c>
      <c r="B1184" t="s">
        <v>3592</v>
      </c>
      <c r="C1184" t="s">
        <v>52</v>
      </c>
      <c r="D1184">
        <v>0.677</v>
      </c>
      <c r="E1184">
        <v>910</v>
      </c>
      <c r="F1184">
        <v>26</v>
      </c>
      <c r="G1184" t="s">
        <v>27</v>
      </c>
      <c r="H1184" t="s">
        <v>3593</v>
      </c>
      <c r="I1184" t="s">
        <v>29</v>
      </c>
      <c r="J1184" t="s">
        <v>30</v>
      </c>
      <c r="K1184" t="s">
        <v>31</v>
      </c>
      <c r="L1184" t="s">
        <v>38</v>
      </c>
      <c r="M1184" t="s">
        <v>44</v>
      </c>
      <c r="N1184">
        <v>2</v>
      </c>
      <c r="O1184">
        <v>5</v>
      </c>
      <c r="P1184">
        <v>0</v>
      </c>
      <c r="Q1184">
        <v>1344.165435745938</v>
      </c>
      <c r="R1184">
        <v>38.40472673559822</v>
      </c>
      <c r="S1184">
        <v>35</v>
      </c>
      <c r="T1184">
        <v>1</v>
      </c>
      <c r="U1184">
        <v>1</v>
      </c>
      <c r="V1184">
        <v>0</v>
      </c>
      <c r="W1184">
        <v>6.814542897259958</v>
      </c>
      <c r="X1184">
        <v>0</v>
      </c>
    </row>
    <row r="1185" spans="1:24">
      <c r="A1185" t="s">
        <v>3594</v>
      </c>
      <c r="B1185" t="s">
        <v>3595</v>
      </c>
      <c r="C1185" t="s">
        <v>35</v>
      </c>
      <c r="D1185">
        <v>1.71</v>
      </c>
      <c r="E1185">
        <v>504</v>
      </c>
      <c r="F1185">
        <v>20</v>
      </c>
      <c r="G1185" t="s">
        <v>47</v>
      </c>
      <c r="H1185" t="s">
        <v>3596</v>
      </c>
      <c r="I1185" t="s">
        <v>29</v>
      </c>
      <c r="J1185" t="s">
        <v>31</v>
      </c>
      <c r="K1185" t="s">
        <v>30</v>
      </c>
      <c r="L1185" t="s">
        <v>31</v>
      </c>
      <c r="M1185" t="s">
        <v>39</v>
      </c>
      <c r="N1185">
        <v>2</v>
      </c>
      <c r="O1185">
        <v>5</v>
      </c>
      <c r="P1185">
        <v>0</v>
      </c>
      <c r="Q1185">
        <v>294.7368421052632</v>
      </c>
      <c r="R1185">
        <v>11.69590643274854</v>
      </c>
      <c r="S1185">
        <v>25.2</v>
      </c>
      <c r="T1185">
        <v>1</v>
      </c>
      <c r="U1185">
        <v>1</v>
      </c>
      <c r="V1185">
        <v>0</v>
      </c>
      <c r="W1185">
        <v>6.22455842927536</v>
      </c>
      <c r="X1185">
        <v>0</v>
      </c>
    </row>
    <row r="1186" spans="1:24">
      <c r="A1186" t="s">
        <v>3597</v>
      </c>
      <c r="B1186" t="s">
        <v>3598</v>
      </c>
      <c r="C1186" t="s">
        <v>35</v>
      </c>
      <c r="D1186">
        <v>1.335</v>
      </c>
      <c r="E1186">
        <v>4635</v>
      </c>
      <c r="F1186">
        <v>17</v>
      </c>
      <c r="G1186" t="s">
        <v>27</v>
      </c>
      <c r="H1186" t="s">
        <v>3599</v>
      </c>
      <c r="I1186" t="s">
        <v>29</v>
      </c>
      <c r="J1186" t="s">
        <v>30</v>
      </c>
      <c r="K1186" t="s">
        <v>30</v>
      </c>
      <c r="L1186" t="s">
        <v>31</v>
      </c>
      <c r="M1186" t="s">
        <v>97</v>
      </c>
      <c r="N1186">
        <v>2</v>
      </c>
      <c r="O1186">
        <v>5</v>
      </c>
      <c r="P1186">
        <v>0</v>
      </c>
      <c r="Q1186">
        <v>3471.910112359551</v>
      </c>
      <c r="R1186">
        <v>12.73408239700375</v>
      </c>
      <c r="S1186">
        <v>272.6470588235294</v>
      </c>
      <c r="T1186">
        <v>1</v>
      </c>
      <c r="U1186">
        <v>1</v>
      </c>
      <c r="V1186">
        <v>0</v>
      </c>
      <c r="W1186">
        <v>8.441607204459642</v>
      </c>
      <c r="X1186">
        <v>0</v>
      </c>
    </row>
    <row r="1187" spans="1:24">
      <c r="A1187" t="s">
        <v>3600</v>
      </c>
      <c r="B1187" t="s">
        <v>3601</v>
      </c>
      <c r="C1187" t="s">
        <v>35</v>
      </c>
      <c r="D1187">
        <v>0.523</v>
      </c>
      <c r="E1187">
        <v>974</v>
      </c>
      <c r="F1187">
        <v>16</v>
      </c>
      <c r="G1187" t="s">
        <v>47</v>
      </c>
      <c r="H1187" t="s">
        <v>3602</v>
      </c>
      <c r="I1187" t="s">
        <v>29</v>
      </c>
      <c r="J1187" t="s">
        <v>31</v>
      </c>
      <c r="K1187" t="s">
        <v>30</v>
      </c>
      <c r="L1187" t="s">
        <v>30</v>
      </c>
      <c r="M1187" t="s">
        <v>97</v>
      </c>
      <c r="N1187">
        <v>2</v>
      </c>
      <c r="O1187">
        <v>5</v>
      </c>
      <c r="P1187">
        <v>0</v>
      </c>
      <c r="Q1187">
        <v>1862.332695984704</v>
      </c>
      <c r="R1187">
        <v>30.59273422562141</v>
      </c>
      <c r="S1187">
        <v>60.875</v>
      </c>
      <c r="T1187">
        <v>1</v>
      </c>
      <c r="U1187">
        <v>1</v>
      </c>
      <c r="V1187">
        <v>0</v>
      </c>
      <c r="W1187">
        <v>6.882437470997847</v>
      </c>
      <c r="X1187">
        <v>0</v>
      </c>
    </row>
    <row r="1188" spans="1:24">
      <c r="A1188" t="s">
        <v>3603</v>
      </c>
      <c r="B1188" t="s">
        <v>3604</v>
      </c>
      <c r="C1188" t="s">
        <v>26</v>
      </c>
      <c r="D1188">
        <v>0.014</v>
      </c>
      <c r="E1188">
        <v>1781</v>
      </c>
      <c r="F1188">
        <v>1</v>
      </c>
      <c r="G1188" t="s">
        <v>27</v>
      </c>
      <c r="H1188" t="s">
        <v>3605</v>
      </c>
      <c r="I1188" t="s">
        <v>90</v>
      </c>
      <c r="J1188" t="s">
        <v>30</v>
      </c>
      <c r="K1188" t="s">
        <v>30</v>
      </c>
      <c r="L1188" t="s">
        <v>31</v>
      </c>
      <c r="M1188" t="s">
        <v>97</v>
      </c>
      <c r="N1188">
        <v>2</v>
      </c>
      <c r="O1188">
        <v>5</v>
      </c>
      <c r="P1188">
        <v>0</v>
      </c>
      <c r="Q1188">
        <v>127214.2857142857</v>
      </c>
      <c r="R1188">
        <v>71.42857142857143</v>
      </c>
      <c r="S1188">
        <v>1781</v>
      </c>
      <c r="T1188">
        <v>1</v>
      </c>
      <c r="U1188">
        <v>1</v>
      </c>
      <c r="V1188">
        <v>0</v>
      </c>
      <c r="W1188">
        <v>7.485491608030754</v>
      </c>
      <c r="X1188">
        <v>1</v>
      </c>
    </row>
    <row r="1189" spans="1:24">
      <c r="A1189" t="s">
        <v>3606</v>
      </c>
      <c r="B1189" t="s">
        <v>3607</v>
      </c>
      <c r="C1189" t="s">
        <v>26</v>
      </c>
      <c r="D1189">
        <v>12.627</v>
      </c>
      <c r="E1189">
        <v>6220</v>
      </c>
      <c r="F1189">
        <v>18</v>
      </c>
      <c r="G1189" t="s">
        <v>36</v>
      </c>
      <c r="H1189" t="s">
        <v>3608</v>
      </c>
      <c r="I1189" t="s">
        <v>29</v>
      </c>
      <c r="J1189" t="s">
        <v>38</v>
      </c>
      <c r="K1189" t="s">
        <v>30</v>
      </c>
      <c r="L1189" t="s">
        <v>30</v>
      </c>
      <c r="M1189" t="s">
        <v>44</v>
      </c>
      <c r="N1189">
        <v>2</v>
      </c>
      <c r="O1189">
        <v>5</v>
      </c>
      <c r="P1189">
        <v>0</v>
      </c>
      <c r="Q1189">
        <v>492.5952324384256</v>
      </c>
      <c r="R1189">
        <v>1.42551674982181</v>
      </c>
      <c r="S1189">
        <v>345.5555555555555</v>
      </c>
      <c r="T1189">
        <v>1</v>
      </c>
      <c r="U1189">
        <v>1</v>
      </c>
      <c r="V1189">
        <v>0</v>
      </c>
      <c r="W1189">
        <v>8.735685944515019</v>
      </c>
      <c r="X1189">
        <v>0</v>
      </c>
    </row>
    <row r="1190" spans="1:24">
      <c r="A1190" t="s">
        <v>3609</v>
      </c>
      <c r="B1190" t="s">
        <v>3610</v>
      </c>
      <c r="C1190" t="s">
        <v>35</v>
      </c>
      <c r="D1190">
        <v>5.644</v>
      </c>
      <c r="E1190">
        <v>2842</v>
      </c>
      <c r="F1190">
        <v>14</v>
      </c>
      <c r="G1190" t="s">
        <v>27</v>
      </c>
      <c r="H1190" t="s">
        <v>3611</v>
      </c>
      <c r="I1190" t="s">
        <v>29</v>
      </c>
      <c r="J1190" t="s">
        <v>30</v>
      </c>
      <c r="K1190" t="s">
        <v>31</v>
      </c>
      <c r="L1190" t="s">
        <v>30</v>
      </c>
      <c r="M1190" t="s">
        <v>97</v>
      </c>
      <c r="N1190">
        <v>3</v>
      </c>
      <c r="O1190">
        <v>5</v>
      </c>
      <c r="P1190">
        <v>0</v>
      </c>
      <c r="Q1190">
        <v>503.5435861091424</v>
      </c>
      <c r="R1190">
        <v>2.480510276399717</v>
      </c>
      <c r="S1190">
        <v>203</v>
      </c>
      <c r="T1190">
        <v>1</v>
      </c>
      <c r="U1190">
        <v>1</v>
      </c>
      <c r="V1190">
        <v>0</v>
      </c>
      <c r="W1190">
        <v>7.952615111651</v>
      </c>
      <c r="X1190">
        <v>0</v>
      </c>
    </row>
    <row r="1191" spans="1:24">
      <c r="A1191" t="s">
        <v>3612</v>
      </c>
      <c r="B1191" t="s">
        <v>3613</v>
      </c>
      <c r="C1191" t="s">
        <v>35</v>
      </c>
      <c r="D1191">
        <v>1.471</v>
      </c>
      <c r="E1191">
        <v>9842</v>
      </c>
      <c r="F1191">
        <v>56</v>
      </c>
      <c r="G1191" t="s">
        <v>62</v>
      </c>
      <c r="H1191" t="s">
        <v>3614</v>
      </c>
      <c r="I1191" t="s">
        <v>49</v>
      </c>
      <c r="J1191" t="s">
        <v>30</v>
      </c>
      <c r="K1191" t="s">
        <v>30</v>
      </c>
      <c r="L1191" t="s">
        <v>38</v>
      </c>
      <c r="M1191" t="s">
        <v>39</v>
      </c>
      <c r="N1191">
        <v>3</v>
      </c>
      <c r="O1191">
        <v>5</v>
      </c>
      <c r="P1191">
        <v>0</v>
      </c>
      <c r="Q1191">
        <v>6690.68660774983</v>
      </c>
      <c r="R1191">
        <v>38.0693405846363</v>
      </c>
      <c r="S1191">
        <v>175.75</v>
      </c>
      <c r="T1191">
        <v>1</v>
      </c>
      <c r="U1191">
        <v>1</v>
      </c>
      <c r="V1191">
        <v>1</v>
      </c>
      <c r="W1191">
        <v>9.194515821629212</v>
      </c>
      <c r="X1191">
        <v>1</v>
      </c>
    </row>
    <row r="1192" spans="1:24">
      <c r="A1192" t="s">
        <v>3615</v>
      </c>
      <c r="B1192" t="s">
        <v>3616</v>
      </c>
      <c r="C1192" t="s">
        <v>130</v>
      </c>
      <c r="D1192">
        <v>4.85</v>
      </c>
      <c r="E1192">
        <v>6190</v>
      </c>
      <c r="F1192">
        <v>26</v>
      </c>
      <c r="G1192" t="s">
        <v>36</v>
      </c>
      <c r="H1192" t="s">
        <v>3617</v>
      </c>
      <c r="I1192" t="s">
        <v>29</v>
      </c>
      <c r="J1192" t="s">
        <v>38</v>
      </c>
      <c r="K1192" t="s">
        <v>30</v>
      </c>
      <c r="L1192" t="s">
        <v>31</v>
      </c>
      <c r="M1192" t="s">
        <v>39</v>
      </c>
      <c r="N1192">
        <v>3</v>
      </c>
      <c r="O1192">
        <v>5</v>
      </c>
      <c r="P1192">
        <v>0</v>
      </c>
      <c r="Q1192">
        <v>1276.288659793814</v>
      </c>
      <c r="R1192">
        <v>5.360824742268042</v>
      </c>
      <c r="S1192">
        <v>238.0769230769231</v>
      </c>
      <c r="T1192">
        <v>1</v>
      </c>
      <c r="U1192">
        <v>1</v>
      </c>
      <c r="V1192">
        <v>0</v>
      </c>
      <c r="W1192">
        <v>8.730851903519232</v>
      </c>
      <c r="X1192">
        <v>0</v>
      </c>
    </row>
    <row r="1193" spans="1:24">
      <c r="A1193" t="s">
        <v>3618</v>
      </c>
      <c r="B1193" t="s">
        <v>3619</v>
      </c>
      <c r="C1193" t="s">
        <v>26</v>
      </c>
      <c r="D1193">
        <v>0.975</v>
      </c>
      <c r="E1193">
        <v>1508</v>
      </c>
      <c r="F1193">
        <v>21</v>
      </c>
      <c r="G1193" t="s">
        <v>27</v>
      </c>
      <c r="H1193" t="s">
        <v>3620</v>
      </c>
      <c r="I1193" t="s">
        <v>29</v>
      </c>
      <c r="J1193" t="s">
        <v>30</v>
      </c>
      <c r="K1193" t="s">
        <v>30</v>
      </c>
      <c r="L1193" t="s">
        <v>38</v>
      </c>
      <c r="M1193" t="s">
        <v>44</v>
      </c>
      <c r="N1193">
        <v>3</v>
      </c>
      <c r="O1193">
        <v>5</v>
      </c>
      <c r="P1193">
        <v>0</v>
      </c>
      <c r="Q1193">
        <v>1546.666666666667</v>
      </c>
      <c r="R1193">
        <v>21.53846153846154</v>
      </c>
      <c r="S1193">
        <v>71.80952380952381</v>
      </c>
      <c r="T1193">
        <v>1</v>
      </c>
      <c r="U1193">
        <v>1</v>
      </c>
      <c r="V1193">
        <v>0</v>
      </c>
      <c r="W1193">
        <v>7.319202458767849</v>
      </c>
      <c r="X1193">
        <v>0</v>
      </c>
    </row>
    <row r="1194" spans="1:24">
      <c r="A1194" t="s">
        <v>3621</v>
      </c>
      <c r="B1194" t="s">
        <v>3622</v>
      </c>
      <c r="C1194" t="s">
        <v>52</v>
      </c>
      <c r="D1194">
        <v>1.794</v>
      </c>
      <c r="E1194">
        <v>6620</v>
      </c>
      <c r="F1194">
        <v>18</v>
      </c>
      <c r="G1194" t="s">
        <v>62</v>
      </c>
      <c r="H1194" t="s">
        <v>3623</v>
      </c>
      <c r="I1194" t="s">
        <v>29</v>
      </c>
      <c r="J1194" t="s">
        <v>30</v>
      </c>
      <c r="K1194" t="s">
        <v>30</v>
      </c>
      <c r="L1194" t="s">
        <v>38</v>
      </c>
      <c r="M1194" t="s">
        <v>44</v>
      </c>
      <c r="N1194">
        <v>3</v>
      </c>
      <c r="O1194">
        <v>5</v>
      </c>
      <c r="P1194">
        <v>0</v>
      </c>
      <c r="Q1194">
        <v>3690.078037904125</v>
      </c>
      <c r="R1194">
        <v>10.03344481605351</v>
      </c>
      <c r="S1194">
        <v>367.7777777777778</v>
      </c>
      <c r="T1194">
        <v>1</v>
      </c>
      <c r="U1194">
        <v>1</v>
      </c>
      <c r="V1194">
        <v>0</v>
      </c>
      <c r="W1194">
        <v>8.798001694924846</v>
      </c>
      <c r="X1194">
        <v>0</v>
      </c>
    </row>
    <row r="1195" spans="1:24">
      <c r="A1195" t="s">
        <v>3624</v>
      </c>
      <c r="B1195" t="s">
        <v>3625</v>
      </c>
      <c r="C1195" t="s">
        <v>35</v>
      </c>
      <c r="D1195">
        <v>2.882</v>
      </c>
      <c r="E1195">
        <v>837</v>
      </c>
      <c r="F1195">
        <v>20</v>
      </c>
      <c r="G1195" t="s">
        <v>62</v>
      </c>
      <c r="H1195" t="s">
        <v>3626</v>
      </c>
      <c r="I1195" t="s">
        <v>29</v>
      </c>
      <c r="J1195" t="s">
        <v>30</v>
      </c>
      <c r="K1195" t="s">
        <v>31</v>
      </c>
      <c r="L1195" t="s">
        <v>30</v>
      </c>
      <c r="M1195" t="s">
        <v>97</v>
      </c>
      <c r="N1195">
        <v>3</v>
      </c>
      <c r="O1195">
        <v>5</v>
      </c>
      <c r="P1195">
        <v>0</v>
      </c>
      <c r="Q1195">
        <v>290.4233171408744</v>
      </c>
      <c r="R1195">
        <v>6.939625260235947</v>
      </c>
      <c r="S1195">
        <v>41.85</v>
      </c>
      <c r="T1195">
        <v>1</v>
      </c>
      <c r="U1195">
        <v>1</v>
      </c>
      <c r="V1195">
        <v>0</v>
      </c>
      <c r="W1195">
        <v>6.731018100482083</v>
      </c>
      <c r="X1195">
        <v>0</v>
      </c>
    </row>
    <row r="1196" spans="1:24">
      <c r="A1196" t="s">
        <v>3627</v>
      </c>
      <c r="B1196" t="s">
        <v>3628</v>
      </c>
      <c r="C1196" t="s">
        <v>35</v>
      </c>
      <c r="D1196">
        <v>6.343</v>
      </c>
      <c r="E1196">
        <v>2348</v>
      </c>
      <c r="F1196">
        <v>17</v>
      </c>
      <c r="G1196" t="s">
        <v>47</v>
      </c>
      <c r="H1196" t="s">
        <v>3629</v>
      </c>
      <c r="I1196" t="s">
        <v>29</v>
      </c>
      <c r="J1196" t="s">
        <v>31</v>
      </c>
      <c r="K1196" t="s">
        <v>30</v>
      </c>
      <c r="L1196" t="s">
        <v>38</v>
      </c>
      <c r="M1196" t="s">
        <v>97</v>
      </c>
      <c r="N1196">
        <v>3</v>
      </c>
      <c r="O1196">
        <v>5</v>
      </c>
      <c r="P1196">
        <v>0</v>
      </c>
      <c r="Q1196">
        <v>370.1718429765096</v>
      </c>
      <c r="R1196">
        <v>2.680119817121236</v>
      </c>
      <c r="S1196">
        <v>138.1176470588235</v>
      </c>
      <c r="T1196">
        <v>1</v>
      </c>
      <c r="U1196">
        <v>1</v>
      </c>
      <c r="V1196">
        <v>0</v>
      </c>
      <c r="W1196">
        <v>7.761744984658913</v>
      </c>
      <c r="X1196">
        <v>0</v>
      </c>
    </row>
    <row r="1197" spans="1:24">
      <c r="A1197" t="s">
        <v>3630</v>
      </c>
      <c r="B1197" t="s">
        <v>3631</v>
      </c>
      <c r="C1197" t="s">
        <v>26</v>
      </c>
      <c r="D1197">
        <v>0.032</v>
      </c>
      <c r="E1197">
        <v>1897</v>
      </c>
      <c r="F1197">
        <v>3</v>
      </c>
      <c r="G1197" t="s">
        <v>36</v>
      </c>
      <c r="H1197" t="s">
        <v>3632</v>
      </c>
      <c r="I1197" t="s">
        <v>90</v>
      </c>
      <c r="J1197" t="s">
        <v>38</v>
      </c>
      <c r="K1197" t="s">
        <v>31</v>
      </c>
      <c r="L1197" t="s">
        <v>38</v>
      </c>
      <c r="M1197" t="s">
        <v>83</v>
      </c>
      <c r="N1197">
        <v>3</v>
      </c>
      <c r="O1197">
        <v>5</v>
      </c>
      <c r="P1197">
        <v>0</v>
      </c>
      <c r="Q1197">
        <v>59281.25</v>
      </c>
      <c r="R1197">
        <v>93.75</v>
      </c>
      <c r="S1197">
        <v>632.3333333333334</v>
      </c>
      <c r="T1197">
        <v>1</v>
      </c>
      <c r="U1197">
        <v>1</v>
      </c>
      <c r="V1197">
        <v>0</v>
      </c>
      <c r="W1197">
        <v>7.548555979169874</v>
      </c>
      <c r="X1197">
        <v>1</v>
      </c>
    </row>
    <row r="1198" spans="1:24">
      <c r="A1198" t="s">
        <v>3633</v>
      </c>
      <c r="B1198" t="s">
        <v>3634</v>
      </c>
      <c r="C1198" t="s">
        <v>35</v>
      </c>
      <c r="D1198">
        <v>4.542</v>
      </c>
      <c r="E1198">
        <v>977</v>
      </c>
      <c r="F1198">
        <v>12</v>
      </c>
      <c r="G1198" t="s">
        <v>36</v>
      </c>
      <c r="H1198" t="s">
        <v>3635</v>
      </c>
      <c r="I1198" t="s">
        <v>29</v>
      </c>
      <c r="J1198" t="s">
        <v>38</v>
      </c>
      <c r="K1198" t="s">
        <v>31</v>
      </c>
      <c r="L1198" t="s">
        <v>31</v>
      </c>
      <c r="M1198" t="s">
        <v>76</v>
      </c>
      <c r="N1198">
        <v>3</v>
      </c>
      <c r="O1198">
        <v>5</v>
      </c>
      <c r="P1198">
        <v>0</v>
      </c>
      <c r="Q1198">
        <v>215.1034786437693</v>
      </c>
      <c r="R1198">
        <v>2.642007926023778</v>
      </c>
      <c r="S1198">
        <v>81.41666666666667</v>
      </c>
      <c r="T1198">
        <v>1</v>
      </c>
      <c r="U1198">
        <v>1</v>
      </c>
      <c r="V1198">
        <v>0</v>
      </c>
      <c r="W1198">
        <v>6.885509670034818</v>
      </c>
      <c r="X1198">
        <v>0</v>
      </c>
    </row>
    <row r="1199" spans="1:24">
      <c r="A1199" t="s">
        <v>3636</v>
      </c>
      <c r="B1199" t="s">
        <v>3637</v>
      </c>
      <c r="C1199" t="s">
        <v>35</v>
      </c>
      <c r="D1199">
        <v>1.602</v>
      </c>
      <c r="E1199">
        <v>5028</v>
      </c>
      <c r="F1199">
        <v>12</v>
      </c>
      <c r="G1199" t="s">
        <v>62</v>
      </c>
      <c r="H1199" t="s">
        <v>3638</v>
      </c>
      <c r="I1199" t="s">
        <v>29</v>
      </c>
      <c r="J1199" t="s">
        <v>30</v>
      </c>
      <c r="K1199" t="s">
        <v>30</v>
      </c>
      <c r="L1199" t="s">
        <v>31</v>
      </c>
      <c r="M1199" t="s">
        <v>39</v>
      </c>
      <c r="N1199">
        <v>3</v>
      </c>
      <c r="O1199">
        <v>5</v>
      </c>
      <c r="P1199">
        <v>0</v>
      </c>
      <c r="Q1199">
        <v>3138.576779026217</v>
      </c>
      <c r="R1199">
        <v>7.49063670411985</v>
      </c>
      <c r="S1199">
        <v>419</v>
      </c>
      <c r="T1199">
        <v>1</v>
      </c>
      <c r="U1199">
        <v>1</v>
      </c>
      <c r="V1199">
        <v>0</v>
      </c>
      <c r="W1199">
        <v>8.522976436171964</v>
      </c>
      <c r="X1199">
        <v>0</v>
      </c>
    </row>
    <row r="1200" spans="1:24">
      <c r="A1200" t="s">
        <v>3639</v>
      </c>
      <c r="B1200" t="s">
        <v>3640</v>
      </c>
      <c r="C1200" t="s">
        <v>35</v>
      </c>
      <c r="D1200">
        <v>1.015</v>
      </c>
      <c r="E1200">
        <v>4555</v>
      </c>
      <c r="F1200">
        <v>19</v>
      </c>
      <c r="G1200" t="s">
        <v>62</v>
      </c>
      <c r="H1200" t="s">
        <v>3641</v>
      </c>
      <c r="I1200" t="s">
        <v>29</v>
      </c>
      <c r="J1200" t="s">
        <v>30</v>
      </c>
      <c r="K1200" t="s">
        <v>30</v>
      </c>
      <c r="L1200" t="s">
        <v>38</v>
      </c>
      <c r="M1200" t="s">
        <v>44</v>
      </c>
      <c r="N1200">
        <v>3</v>
      </c>
      <c r="O1200">
        <v>5</v>
      </c>
      <c r="P1200">
        <v>0</v>
      </c>
      <c r="Q1200">
        <v>4487.68472906404</v>
      </c>
      <c r="R1200">
        <v>18.7192118226601</v>
      </c>
      <c r="S1200">
        <v>239.7368421052632</v>
      </c>
      <c r="T1200">
        <v>1</v>
      </c>
      <c r="U1200">
        <v>1</v>
      </c>
      <c r="V1200">
        <v>0</v>
      </c>
      <c r="W1200">
        <v>8.424200324567073</v>
      </c>
      <c r="X1200">
        <v>0</v>
      </c>
    </row>
    <row r="1201" spans="1:24">
      <c r="A1201" t="s">
        <v>3642</v>
      </c>
      <c r="B1201" t="s">
        <v>3643</v>
      </c>
      <c r="C1201" t="s">
        <v>35</v>
      </c>
      <c r="D1201">
        <v>6.053</v>
      </c>
      <c r="E1201">
        <v>1711</v>
      </c>
      <c r="F1201">
        <v>18</v>
      </c>
      <c r="G1201" t="s">
        <v>36</v>
      </c>
      <c r="H1201" t="s">
        <v>3644</v>
      </c>
      <c r="I1201" t="s">
        <v>29</v>
      </c>
      <c r="J1201" t="s">
        <v>38</v>
      </c>
      <c r="K1201" t="s">
        <v>38</v>
      </c>
      <c r="L1201" t="s">
        <v>38</v>
      </c>
      <c r="M1201" t="s">
        <v>44</v>
      </c>
      <c r="N1201">
        <v>3</v>
      </c>
      <c r="O1201">
        <v>5</v>
      </c>
      <c r="P1201">
        <v>0</v>
      </c>
      <c r="Q1201">
        <v>282.6697505369239</v>
      </c>
      <c r="R1201">
        <v>2.973732033702297</v>
      </c>
      <c r="S1201">
        <v>95.05555555555556</v>
      </c>
      <c r="T1201">
        <v>1</v>
      </c>
      <c r="U1201">
        <v>1</v>
      </c>
      <c r="V1201">
        <v>0</v>
      </c>
      <c r="W1201">
        <v>7.445417556701687</v>
      </c>
      <c r="X1201">
        <v>0</v>
      </c>
    </row>
  </sheetData>
  <autoFilter ref="A1:X120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6" width="18.7109375" customWidth="1"/>
  </cols>
  <sheetData>
    <row r="1" spans="1:6">
      <c r="A1" s="1" t="s">
        <v>3645</v>
      </c>
    </row>
    <row r="3" spans="1:6">
      <c r="A3" s="3" t="s">
        <v>2</v>
      </c>
      <c r="B3" s="3" t="s">
        <v>3646</v>
      </c>
      <c r="C3" s="3" t="s">
        <v>3647</v>
      </c>
      <c r="D3" s="3" t="s">
        <v>3648</v>
      </c>
      <c r="E3" s="3" t="s">
        <v>3649</v>
      </c>
      <c r="F3" s="3" t="s">
        <v>3650</v>
      </c>
    </row>
    <row r="4" spans="1:6">
      <c r="A4" t="s">
        <v>52</v>
      </c>
      <c r="B4">
        <f>COUNTIF(Data!$C$2:$C$1201,A4)</f>
        <v>0</v>
      </c>
      <c r="C4">
        <f>COUNTIFS(Data!$C$2:$C$1201,A4,Data!$X$2:$X$1201,1)</f>
        <v>0</v>
      </c>
      <c r="D4" s="4">
        <f>IF(B4=0,0,C4/B4)</f>
        <v>0</v>
      </c>
      <c r="E4" s="5">
        <f>AVERAGEIF(Data!$C$2:$C$1201,A4,Data!$E$2:$E$1201)</f>
        <v>0</v>
      </c>
      <c r="F4" s="4">
        <f>B4/SUM($B$4:$B$7)</f>
        <v>0</v>
      </c>
    </row>
    <row r="5" spans="1:6">
      <c r="A5" t="s">
        <v>35</v>
      </c>
      <c r="B5">
        <f>COUNTIF(Data!$C$2:$C$1201,A5)</f>
        <v>0</v>
      </c>
      <c r="C5">
        <f>COUNTIFS(Data!$C$2:$C$1201,A5,Data!$X$2:$X$1201,1)</f>
        <v>0</v>
      </c>
      <c r="D5" s="4">
        <f>IF(B5=0,0,C5/B5)</f>
        <v>0</v>
      </c>
      <c r="E5" s="5">
        <f>AVERAGEIF(Data!$C$2:$C$1201,A5,Data!$E$2:$E$1201)</f>
        <v>0</v>
      </c>
      <c r="F5" s="4">
        <f>B5/SUM($B$4:$B$7)</f>
        <v>0</v>
      </c>
    </row>
    <row r="6" spans="1:6">
      <c r="A6" t="s">
        <v>26</v>
      </c>
      <c r="B6">
        <f>COUNTIF(Data!$C$2:$C$1201,A6)</f>
        <v>0</v>
      </c>
      <c r="C6">
        <f>COUNTIFS(Data!$C$2:$C$1201,A6,Data!$X$2:$X$1201,1)</f>
        <v>0</v>
      </c>
      <c r="D6" s="4">
        <f>IF(B6=0,0,C6/B6)</f>
        <v>0</v>
      </c>
      <c r="E6" s="5">
        <f>AVERAGEIF(Data!$C$2:$C$1201,A6,Data!$E$2:$E$1201)</f>
        <v>0</v>
      </c>
      <c r="F6" s="4">
        <f>B6/SUM($B$4:$B$7)</f>
        <v>0</v>
      </c>
    </row>
    <row r="7" spans="1:6">
      <c r="A7" t="s">
        <v>130</v>
      </c>
      <c r="B7">
        <f>COUNTIF(Data!$C$2:$C$1201,A7)</f>
        <v>0</v>
      </c>
      <c r="C7">
        <f>COUNTIFS(Data!$C$2:$C$1201,A7,Data!$X$2:$X$1201,1)</f>
        <v>0</v>
      </c>
      <c r="D7" s="4">
        <f>IF(B7=0,0,C7/B7)</f>
        <v>0</v>
      </c>
      <c r="E7" s="5">
        <f>AVERAGEIF(Data!$C$2:$C$1201,A7,Data!$E$2:$E$1201)</f>
        <v>0</v>
      </c>
      <c r="F7" s="4">
        <f>B7/SUM($B$4:$B$7)</f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1" max="6" width="18.7109375" customWidth="1"/>
  </cols>
  <sheetData>
    <row r="1" spans="1:6">
      <c r="A1" s="1" t="s">
        <v>3651</v>
      </c>
    </row>
    <row r="3" spans="1:6">
      <c r="A3" s="3" t="s">
        <v>13</v>
      </c>
      <c r="B3" s="3" t="s">
        <v>3646</v>
      </c>
      <c r="C3" s="3" t="s">
        <v>3647</v>
      </c>
      <c r="D3" s="3" t="s">
        <v>3648</v>
      </c>
      <c r="E3" s="3" t="s">
        <v>3649</v>
      </c>
      <c r="F3" s="3" t="s">
        <v>3650</v>
      </c>
    </row>
    <row r="4" spans="1:6">
      <c r="A4">
        <v>0</v>
      </c>
      <c r="B4">
        <f>COUNTIF(Data!$N$2:$N$1201,A4)</f>
        <v>0</v>
      </c>
      <c r="C4">
        <f>COUNTIFS(Data!$N$2:$N$1201,A4,Data!$X$2:$X$1201,1)</f>
        <v>0</v>
      </c>
      <c r="D4" s="4">
        <f>IF(B4=0,0,C4/B4)</f>
        <v>0</v>
      </c>
      <c r="E4" s="5">
        <f>AVERAGEIF(Data!$N$2:$N$1201,A4,Data!$E$2:$E$1201)</f>
        <v>0</v>
      </c>
      <c r="F4" s="4">
        <f>B4/SUM($B$4:$B$27)</f>
        <v>0</v>
      </c>
    </row>
    <row r="5" spans="1:6">
      <c r="A5">
        <v>1</v>
      </c>
      <c r="B5">
        <f>COUNTIF(Data!$N$2:$N$1201,A5)</f>
        <v>0</v>
      </c>
      <c r="C5">
        <f>COUNTIFS(Data!$N$2:$N$1201,A5,Data!$X$2:$X$1201,1)</f>
        <v>0</v>
      </c>
      <c r="D5" s="4">
        <f>IF(B5=0,0,C5/B5)</f>
        <v>0</v>
      </c>
      <c r="E5" s="5">
        <f>AVERAGEIF(Data!$N$2:$N$1201,A5,Data!$E$2:$E$1201)</f>
        <v>0</v>
      </c>
      <c r="F5" s="4">
        <f>B5/SUM($B$4:$B$27)</f>
        <v>0</v>
      </c>
    </row>
    <row r="6" spans="1:6">
      <c r="A6">
        <v>2</v>
      </c>
      <c r="B6">
        <f>COUNTIF(Data!$N$2:$N$1201,A6)</f>
        <v>0</v>
      </c>
      <c r="C6">
        <f>COUNTIFS(Data!$N$2:$N$1201,A6,Data!$X$2:$X$1201,1)</f>
        <v>0</v>
      </c>
      <c r="D6" s="4">
        <f>IF(B6=0,0,C6/B6)</f>
        <v>0</v>
      </c>
      <c r="E6" s="5">
        <f>AVERAGEIF(Data!$N$2:$N$1201,A6,Data!$E$2:$E$1201)</f>
        <v>0</v>
      </c>
      <c r="F6" s="4">
        <f>B6/SUM($B$4:$B$27)</f>
        <v>0</v>
      </c>
    </row>
    <row r="7" spans="1:6">
      <c r="A7">
        <v>3</v>
      </c>
      <c r="B7">
        <f>COUNTIF(Data!$N$2:$N$1201,A7)</f>
        <v>0</v>
      </c>
      <c r="C7">
        <f>COUNTIFS(Data!$N$2:$N$1201,A7,Data!$X$2:$X$1201,1)</f>
        <v>0</v>
      </c>
      <c r="D7" s="4">
        <f>IF(B7=0,0,C7/B7)</f>
        <v>0</v>
      </c>
      <c r="E7" s="5">
        <f>AVERAGEIF(Data!$N$2:$N$1201,A7,Data!$E$2:$E$1201)</f>
        <v>0</v>
      </c>
      <c r="F7" s="4">
        <f>B7/SUM($B$4:$B$27)</f>
        <v>0</v>
      </c>
    </row>
    <row r="8" spans="1:6">
      <c r="A8">
        <v>4</v>
      </c>
      <c r="B8">
        <f>COUNTIF(Data!$N$2:$N$1201,A8)</f>
        <v>0</v>
      </c>
      <c r="C8">
        <f>COUNTIFS(Data!$N$2:$N$1201,A8,Data!$X$2:$X$1201,1)</f>
        <v>0</v>
      </c>
      <c r="D8" s="4">
        <f>IF(B8=0,0,C8/B8)</f>
        <v>0</v>
      </c>
      <c r="E8" s="5">
        <f>AVERAGEIF(Data!$N$2:$N$1201,A8,Data!$E$2:$E$1201)</f>
        <v>0</v>
      </c>
      <c r="F8" s="4">
        <f>B8/SUM($B$4:$B$27)</f>
        <v>0</v>
      </c>
    </row>
    <row r="9" spans="1:6">
      <c r="A9">
        <v>5</v>
      </c>
      <c r="B9">
        <f>COUNTIF(Data!$N$2:$N$1201,A9)</f>
        <v>0</v>
      </c>
      <c r="C9">
        <f>COUNTIFS(Data!$N$2:$N$1201,A9,Data!$X$2:$X$1201,1)</f>
        <v>0</v>
      </c>
      <c r="D9" s="4">
        <f>IF(B9=0,0,C9/B9)</f>
        <v>0</v>
      </c>
      <c r="E9" s="5">
        <f>AVERAGEIF(Data!$N$2:$N$1201,A9,Data!$E$2:$E$1201)</f>
        <v>0</v>
      </c>
      <c r="F9" s="4">
        <f>B9/SUM($B$4:$B$27)</f>
        <v>0</v>
      </c>
    </row>
    <row r="10" spans="1:6">
      <c r="A10">
        <v>6</v>
      </c>
      <c r="B10">
        <f>COUNTIF(Data!$N$2:$N$1201,A10)</f>
        <v>0</v>
      </c>
      <c r="C10">
        <f>COUNTIFS(Data!$N$2:$N$1201,A10,Data!$X$2:$X$1201,1)</f>
        <v>0</v>
      </c>
      <c r="D10" s="4">
        <f>IF(B10=0,0,C10/B10)</f>
        <v>0</v>
      </c>
      <c r="E10" s="5">
        <f>AVERAGEIF(Data!$N$2:$N$1201,A10,Data!$E$2:$E$1201)</f>
        <v>0</v>
      </c>
      <c r="F10" s="4">
        <f>B10/SUM($B$4:$B$27)</f>
        <v>0</v>
      </c>
    </row>
    <row r="11" spans="1:6">
      <c r="A11">
        <v>7</v>
      </c>
      <c r="B11">
        <f>COUNTIF(Data!$N$2:$N$1201,A11)</f>
        <v>0</v>
      </c>
      <c r="C11">
        <f>COUNTIFS(Data!$N$2:$N$1201,A11,Data!$X$2:$X$1201,1)</f>
        <v>0</v>
      </c>
      <c r="D11" s="4">
        <f>IF(B11=0,0,C11/B11)</f>
        <v>0</v>
      </c>
      <c r="E11" s="5">
        <f>AVERAGEIF(Data!$N$2:$N$1201,A11,Data!$E$2:$E$1201)</f>
        <v>0</v>
      </c>
      <c r="F11" s="4">
        <f>B11/SUM($B$4:$B$27)</f>
        <v>0</v>
      </c>
    </row>
    <row r="12" spans="1:6">
      <c r="A12">
        <v>8</v>
      </c>
      <c r="B12">
        <f>COUNTIF(Data!$N$2:$N$1201,A12)</f>
        <v>0</v>
      </c>
      <c r="C12">
        <f>COUNTIFS(Data!$N$2:$N$1201,A12,Data!$X$2:$X$1201,1)</f>
        <v>0</v>
      </c>
      <c r="D12" s="4">
        <f>IF(B12=0,0,C12/B12)</f>
        <v>0</v>
      </c>
      <c r="E12" s="5">
        <f>AVERAGEIF(Data!$N$2:$N$1201,A12,Data!$E$2:$E$1201)</f>
        <v>0</v>
      </c>
      <c r="F12" s="4">
        <f>B12/SUM($B$4:$B$27)</f>
        <v>0</v>
      </c>
    </row>
    <row r="13" spans="1:6">
      <c r="A13">
        <v>9</v>
      </c>
      <c r="B13">
        <f>COUNTIF(Data!$N$2:$N$1201,A13)</f>
        <v>0</v>
      </c>
      <c r="C13">
        <f>COUNTIFS(Data!$N$2:$N$1201,A13,Data!$X$2:$X$1201,1)</f>
        <v>0</v>
      </c>
      <c r="D13" s="4">
        <f>IF(B13=0,0,C13/B13)</f>
        <v>0</v>
      </c>
      <c r="E13" s="5">
        <f>AVERAGEIF(Data!$N$2:$N$1201,A13,Data!$E$2:$E$1201)</f>
        <v>0</v>
      </c>
      <c r="F13" s="4">
        <f>B13/SUM($B$4:$B$27)</f>
        <v>0</v>
      </c>
    </row>
    <row r="14" spans="1:6">
      <c r="A14">
        <v>10</v>
      </c>
      <c r="B14">
        <f>COUNTIF(Data!$N$2:$N$1201,A14)</f>
        <v>0</v>
      </c>
      <c r="C14">
        <f>COUNTIFS(Data!$N$2:$N$1201,A14,Data!$X$2:$X$1201,1)</f>
        <v>0</v>
      </c>
      <c r="D14" s="4">
        <f>IF(B14=0,0,C14/B14)</f>
        <v>0</v>
      </c>
      <c r="E14" s="5">
        <f>AVERAGEIF(Data!$N$2:$N$1201,A14,Data!$E$2:$E$1201)</f>
        <v>0</v>
      </c>
      <c r="F14" s="4">
        <f>B14/SUM($B$4:$B$27)</f>
        <v>0</v>
      </c>
    </row>
    <row r="15" spans="1:6">
      <c r="A15">
        <v>11</v>
      </c>
      <c r="B15">
        <f>COUNTIF(Data!$N$2:$N$1201,A15)</f>
        <v>0</v>
      </c>
      <c r="C15">
        <f>COUNTIFS(Data!$N$2:$N$1201,A15,Data!$X$2:$X$1201,1)</f>
        <v>0</v>
      </c>
      <c r="D15" s="4">
        <f>IF(B15=0,0,C15/B15)</f>
        <v>0</v>
      </c>
      <c r="E15" s="5">
        <f>AVERAGEIF(Data!$N$2:$N$1201,A15,Data!$E$2:$E$1201)</f>
        <v>0</v>
      </c>
      <c r="F15" s="4">
        <f>B15/SUM($B$4:$B$27)</f>
        <v>0</v>
      </c>
    </row>
    <row r="16" spans="1:6">
      <c r="A16">
        <v>12</v>
      </c>
      <c r="B16">
        <f>COUNTIF(Data!$N$2:$N$1201,A16)</f>
        <v>0</v>
      </c>
      <c r="C16">
        <f>COUNTIFS(Data!$N$2:$N$1201,A16,Data!$X$2:$X$1201,1)</f>
        <v>0</v>
      </c>
      <c r="D16" s="4">
        <f>IF(B16=0,0,C16/B16)</f>
        <v>0</v>
      </c>
      <c r="E16" s="5">
        <f>AVERAGEIF(Data!$N$2:$N$1201,A16,Data!$E$2:$E$1201)</f>
        <v>0</v>
      </c>
      <c r="F16" s="4">
        <f>B16/SUM($B$4:$B$27)</f>
        <v>0</v>
      </c>
    </row>
    <row r="17" spans="1:6">
      <c r="A17">
        <v>13</v>
      </c>
      <c r="B17">
        <f>COUNTIF(Data!$N$2:$N$1201,A17)</f>
        <v>0</v>
      </c>
      <c r="C17">
        <f>COUNTIFS(Data!$N$2:$N$1201,A17,Data!$X$2:$X$1201,1)</f>
        <v>0</v>
      </c>
      <c r="D17" s="4">
        <f>IF(B17=0,0,C17/B17)</f>
        <v>0</v>
      </c>
      <c r="E17" s="5">
        <f>AVERAGEIF(Data!$N$2:$N$1201,A17,Data!$E$2:$E$1201)</f>
        <v>0</v>
      </c>
      <c r="F17" s="4">
        <f>B17/SUM($B$4:$B$27)</f>
        <v>0</v>
      </c>
    </row>
    <row r="18" spans="1:6">
      <c r="A18">
        <v>14</v>
      </c>
      <c r="B18">
        <f>COUNTIF(Data!$N$2:$N$1201,A18)</f>
        <v>0</v>
      </c>
      <c r="C18">
        <f>COUNTIFS(Data!$N$2:$N$1201,A18,Data!$X$2:$X$1201,1)</f>
        <v>0</v>
      </c>
      <c r="D18" s="4">
        <f>IF(B18=0,0,C18/B18)</f>
        <v>0</v>
      </c>
      <c r="E18" s="5">
        <f>AVERAGEIF(Data!$N$2:$N$1201,A18,Data!$E$2:$E$1201)</f>
        <v>0</v>
      </c>
      <c r="F18" s="4">
        <f>B18/SUM($B$4:$B$27)</f>
        <v>0</v>
      </c>
    </row>
    <row r="19" spans="1:6">
      <c r="A19">
        <v>15</v>
      </c>
      <c r="B19">
        <f>COUNTIF(Data!$N$2:$N$1201,A19)</f>
        <v>0</v>
      </c>
      <c r="C19">
        <f>COUNTIFS(Data!$N$2:$N$1201,A19,Data!$X$2:$X$1201,1)</f>
        <v>0</v>
      </c>
      <c r="D19" s="4">
        <f>IF(B19=0,0,C19/B19)</f>
        <v>0</v>
      </c>
      <c r="E19" s="5">
        <f>AVERAGEIF(Data!$N$2:$N$1201,A19,Data!$E$2:$E$1201)</f>
        <v>0</v>
      </c>
      <c r="F19" s="4">
        <f>B19/SUM($B$4:$B$27)</f>
        <v>0</v>
      </c>
    </row>
    <row r="20" spans="1:6">
      <c r="A20">
        <v>16</v>
      </c>
      <c r="B20">
        <f>COUNTIF(Data!$N$2:$N$1201,A20)</f>
        <v>0</v>
      </c>
      <c r="C20">
        <f>COUNTIFS(Data!$N$2:$N$1201,A20,Data!$X$2:$X$1201,1)</f>
        <v>0</v>
      </c>
      <c r="D20" s="4">
        <f>IF(B20=0,0,C20/B20)</f>
        <v>0</v>
      </c>
      <c r="E20" s="5">
        <f>AVERAGEIF(Data!$N$2:$N$1201,A20,Data!$E$2:$E$1201)</f>
        <v>0</v>
      </c>
      <c r="F20" s="4">
        <f>B20/SUM($B$4:$B$27)</f>
        <v>0</v>
      </c>
    </row>
    <row r="21" spans="1:6">
      <c r="A21">
        <v>17</v>
      </c>
      <c r="B21">
        <f>COUNTIF(Data!$N$2:$N$1201,A21)</f>
        <v>0</v>
      </c>
      <c r="C21">
        <f>COUNTIFS(Data!$N$2:$N$1201,A21,Data!$X$2:$X$1201,1)</f>
        <v>0</v>
      </c>
      <c r="D21" s="4">
        <f>IF(B21=0,0,C21/B21)</f>
        <v>0</v>
      </c>
      <c r="E21" s="5">
        <f>AVERAGEIF(Data!$N$2:$N$1201,A21,Data!$E$2:$E$1201)</f>
        <v>0</v>
      </c>
      <c r="F21" s="4">
        <f>B21/SUM($B$4:$B$27)</f>
        <v>0</v>
      </c>
    </row>
    <row r="22" spans="1:6">
      <c r="A22">
        <v>18</v>
      </c>
      <c r="B22">
        <f>COUNTIF(Data!$N$2:$N$1201,A22)</f>
        <v>0</v>
      </c>
      <c r="C22">
        <f>COUNTIFS(Data!$N$2:$N$1201,A22,Data!$X$2:$X$1201,1)</f>
        <v>0</v>
      </c>
      <c r="D22" s="4">
        <f>IF(B22=0,0,C22/B22)</f>
        <v>0</v>
      </c>
      <c r="E22" s="5">
        <f>AVERAGEIF(Data!$N$2:$N$1201,A22,Data!$E$2:$E$1201)</f>
        <v>0</v>
      </c>
      <c r="F22" s="4">
        <f>B22/SUM($B$4:$B$27)</f>
        <v>0</v>
      </c>
    </row>
    <row r="23" spans="1:6">
      <c r="A23">
        <v>19</v>
      </c>
      <c r="B23">
        <f>COUNTIF(Data!$N$2:$N$1201,A23)</f>
        <v>0</v>
      </c>
      <c r="C23">
        <f>COUNTIFS(Data!$N$2:$N$1201,A23,Data!$X$2:$X$1201,1)</f>
        <v>0</v>
      </c>
      <c r="D23" s="4">
        <f>IF(B23=0,0,C23/B23)</f>
        <v>0</v>
      </c>
      <c r="E23" s="5">
        <f>AVERAGEIF(Data!$N$2:$N$1201,A23,Data!$E$2:$E$1201)</f>
        <v>0</v>
      </c>
      <c r="F23" s="4">
        <f>B23/SUM($B$4:$B$27)</f>
        <v>0</v>
      </c>
    </row>
    <row r="24" spans="1:6">
      <c r="A24">
        <v>20</v>
      </c>
      <c r="B24">
        <f>COUNTIF(Data!$N$2:$N$1201,A24)</f>
        <v>0</v>
      </c>
      <c r="C24">
        <f>COUNTIFS(Data!$N$2:$N$1201,A24,Data!$X$2:$X$1201,1)</f>
        <v>0</v>
      </c>
      <c r="D24" s="4">
        <f>IF(B24=0,0,C24/B24)</f>
        <v>0</v>
      </c>
      <c r="E24" s="5">
        <f>AVERAGEIF(Data!$N$2:$N$1201,A24,Data!$E$2:$E$1201)</f>
        <v>0</v>
      </c>
      <c r="F24" s="4">
        <f>B24/SUM($B$4:$B$27)</f>
        <v>0</v>
      </c>
    </row>
    <row r="25" spans="1:6">
      <c r="A25">
        <v>21</v>
      </c>
      <c r="B25">
        <f>COUNTIF(Data!$N$2:$N$1201,A25)</f>
        <v>0</v>
      </c>
      <c r="C25">
        <f>COUNTIFS(Data!$N$2:$N$1201,A25,Data!$X$2:$X$1201,1)</f>
        <v>0</v>
      </c>
      <c r="D25" s="4">
        <f>IF(B25=0,0,C25/B25)</f>
        <v>0</v>
      </c>
      <c r="E25" s="5">
        <f>AVERAGEIF(Data!$N$2:$N$1201,A25,Data!$E$2:$E$1201)</f>
        <v>0</v>
      </c>
      <c r="F25" s="4">
        <f>B25/SUM($B$4:$B$27)</f>
        <v>0</v>
      </c>
    </row>
    <row r="26" spans="1:6">
      <c r="A26">
        <v>22</v>
      </c>
      <c r="B26">
        <f>COUNTIF(Data!$N$2:$N$1201,A26)</f>
        <v>0</v>
      </c>
      <c r="C26">
        <f>COUNTIFS(Data!$N$2:$N$1201,A26,Data!$X$2:$X$1201,1)</f>
        <v>0</v>
      </c>
      <c r="D26" s="4">
        <f>IF(B26=0,0,C26/B26)</f>
        <v>0</v>
      </c>
      <c r="E26" s="5">
        <f>AVERAGEIF(Data!$N$2:$N$1201,A26,Data!$E$2:$E$1201)</f>
        <v>0</v>
      </c>
      <c r="F26" s="4">
        <f>B26/SUM($B$4:$B$27)</f>
        <v>0</v>
      </c>
    </row>
    <row r="27" spans="1:6">
      <c r="A27">
        <v>23</v>
      </c>
      <c r="B27">
        <f>COUNTIF(Data!$N$2:$N$1201,A27)</f>
        <v>0</v>
      </c>
      <c r="C27">
        <f>COUNTIFS(Data!$N$2:$N$1201,A27,Data!$X$2:$X$1201,1)</f>
        <v>0</v>
      </c>
      <c r="D27" s="4">
        <f>IF(B27=0,0,C27/B27)</f>
        <v>0</v>
      </c>
      <c r="E27" s="5">
        <f>AVERAGEIF(Data!$N$2:$N$1201,A27,Data!$E$2:$E$1201)</f>
        <v>0</v>
      </c>
      <c r="F27" s="4">
        <f>B27/SUM($B$4:$B$27)</f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6" width="18.7109375" customWidth="1"/>
  </cols>
  <sheetData>
    <row r="1" spans="1:6">
      <c r="A1" s="1" t="s">
        <v>3652</v>
      </c>
    </row>
    <row r="3" spans="1:6">
      <c r="A3" s="3" t="s">
        <v>10</v>
      </c>
      <c r="B3" s="3" t="s">
        <v>3646</v>
      </c>
      <c r="C3" s="3" t="s">
        <v>3647</v>
      </c>
      <c r="D3" s="3" t="s">
        <v>3648</v>
      </c>
      <c r="E3" s="3" t="s">
        <v>3649</v>
      </c>
      <c r="F3" s="3" t="s">
        <v>3650</v>
      </c>
    </row>
    <row r="4" spans="1:6">
      <c r="A4" t="s">
        <v>38</v>
      </c>
      <c r="B4">
        <f>COUNTIF(Data!$K$2:$K$1201,A4)</f>
        <v>0</v>
      </c>
      <c r="C4">
        <f>COUNTIFS(Data!$K$2:$K$1201,A4,Data!$X$2:$X$1201,1)</f>
        <v>0</v>
      </c>
      <c r="D4" s="4">
        <f>IF(B4=0,0,C4/B4)</f>
        <v>0</v>
      </c>
      <c r="E4" s="5">
        <f>AVERAGEIF(Data!$K$2:$K$1201,A4,Data!$E$2:$E$1201)</f>
        <v>0</v>
      </c>
      <c r="F4" s="4">
        <f>B4/SUM($B$4:$B$6)</f>
        <v>0</v>
      </c>
    </row>
    <row r="5" spans="1:6">
      <c r="A5" t="s">
        <v>31</v>
      </c>
      <c r="B5">
        <f>COUNTIF(Data!$K$2:$K$1201,A5)</f>
        <v>0</v>
      </c>
      <c r="C5">
        <f>COUNTIFS(Data!$K$2:$K$1201,A5,Data!$X$2:$X$1201,1)</f>
        <v>0</v>
      </c>
      <c r="D5" s="4">
        <f>IF(B5=0,0,C5/B5)</f>
        <v>0</v>
      </c>
      <c r="E5" s="5">
        <f>AVERAGEIF(Data!$K$2:$K$1201,A5,Data!$E$2:$E$1201)</f>
        <v>0</v>
      </c>
      <c r="F5" s="4">
        <f>B5/SUM($B$4:$B$6)</f>
        <v>0</v>
      </c>
    </row>
    <row r="6" spans="1:6">
      <c r="A6" t="s">
        <v>30</v>
      </c>
      <c r="B6">
        <f>COUNTIF(Data!$K$2:$K$1201,A6)</f>
        <v>0</v>
      </c>
      <c r="C6">
        <f>COUNTIFS(Data!$K$2:$K$1201,A6,Data!$X$2:$X$1201,1)</f>
        <v>0</v>
      </c>
      <c r="D6" s="4">
        <f>IF(B6=0,0,C6/B6)</f>
        <v>0</v>
      </c>
      <c r="E6" s="5">
        <f>AVERAGEIF(Data!$K$2:$K$1201,A6,Data!$E$2:$E$1201)</f>
        <v>0</v>
      </c>
      <c r="F6" s="4">
        <f>B6/SUM($B$4:$B$6)</f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6" width="18.7109375" customWidth="1"/>
  </cols>
  <sheetData>
    <row r="1" spans="1:6">
      <c r="A1" s="1" t="s">
        <v>3653</v>
      </c>
    </row>
    <row r="3" spans="1:6">
      <c r="A3" s="3" t="s">
        <v>11</v>
      </c>
      <c r="B3" s="3" t="s">
        <v>3646</v>
      </c>
      <c r="C3" s="3" t="s">
        <v>3647</v>
      </c>
      <c r="D3" s="3" t="s">
        <v>3648</v>
      </c>
      <c r="E3" s="3" t="s">
        <v>3649</v>
      </c>
      <c r="F3" s="3" t="s">
        <v>3650</v>
      </c>
    </row>
    <row r="4" spans="1:6">
      <c r="A4" t="s">
        <v>38</v>
      </c>
      <c r="B4">
        <f>COUNTIF(Data!$L$2:$L$1201,A4)</f>
        <v>0</v>
      </c>
      <c r="C4">
        <f>COUNTIFS(Data!$L$2:$L$1201,A4,Data!$X$2:$X$1201,1)</f>
        <v>0</v>
      </c>
      <c r="D4" s="4">
        <f>IF(B4=0,0,C4/B4)</f>
        <v>0</v>
      </c>
      <c r="E4" s="5">
        <f>AVERAGEIF(Data!$L$2:$L$1201,A4,Data!$E$2:$E$1201)</f>
        <v>0</v>
      </c>
      <c r="F4" s="4">
        <f>B4/SUM($B$4:$B$6)</f>
        <v>0</v>
      </c>
    </row>
    <row r="5" spans="1:6">
      <c r="A5" t="s">
        <v>31</v>
      </c>
      <c r="B5">
        <f>COUNTIF(Data!$L$2:$L$1201,A5)</f>
        <v>0</v>
      </c>
      <c r="C5">
        <f>COUNTIFS(Data!$L$2:$L$1201,A5,Data!$X$2:$X$1201,1)</f>
        <v>0</v>
      </c>
      <c r="D5" s="4">
        <f>IF(B5=0,0,C5/B5)</f>
        <v>0</v>
      </c>
      <c r="E5" s="5">
        <f>AVERAGEIF(Data!$L$2:$L$1201,A5,Data!$E$2:$E$1201)</f>
        <v>0</v>
      </c>
      <c r="F5" s="4">
        <f>B5/SUM($B$4:$B$6)</f>
        <v>0</v>
      </c>
    </row>
    <row r="6" spans="1:6">
      <c r="A6" t="s">
        <v>30</v>
      </c>
      <c r="B6">
        <f>COUNTIF(Data!$L$2:$L$1201,A6)</f>
        <v>0</v>
      </c>
      <c r="C6">
        <f>COUNTIFS(Data!$L$2:$L$1201,A6,Data!$X$2:$X$1201,1)</f>
        <v>0</v>
      </c>
      <c r="D6" s="4">
        <f>IF(B6=0,0,C6/B6)</f>
        <v>0</v>
      </c>
      <c r="E6" s="5">
        <f>AVERAGEIF(Data!$L$2:$L$1201,A6,Data!$E$2:$E$1201)</f>
        <v>0</v>
      </c>
      <c r="F6" s="4">
        <f>B6/SUM($B$4:$B$6)</f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6" width="18.7109375" customWidth="1"/>
  </cols>
  <sheetData>
    <row r="1" spans="1:6">
      <c r="A1" s="1" t="s">
        <v>3654</v>
      </c>
    </row>
    <row r="3" spans="1:6">
      <c r="A3" s="3" t="s">
        <v>12</v>
      </c>
      <c r="B3" s="3" t="s">
        <v>3646</v>
      </c>
      <c r="C3" s="3" t="s">
        <v>3647</v>
      </c>
      <c r="D3" s="3" t="s">
        <v>3648</v>
      </c>
      <c r="E3" s="3" t="s">
        <v>3649</v>
      </c>
      <c r="F3" s="3" t="s">
        <v>3650</v>
      </c>
    </row>
    <row r="4" spans="1:6">
      <c r="A4" t="s">
        <v>83</v>
      </c>
      <c r="B4">
        <f>COUNTIF(Data!$M$2:$M$1201,A4)</f>
        <v>0</v>
      </c>
      <c r="C4">
        <f>COUNTIFS(Data!$M$2:$M$1201,A4,Data!$X$2:$X$1201,1)</f>
        <v>0</v>
      </c>
      <c r="D4" s="4">
        <f>IF(B4=0,0,C4/B4)</f>
        <v>0</v>
      </c>
      <c r="E4" s="5">
        <f>AVERAGEIF(Data!$M$2:$M$1201,A4,Data!$E$2:$E$1201)</f>
        <v>0</v>
      </c>
      <c r="F4" s="4">
        <f>B4/SUM($B$4:$B$9)</f>
        <v>0</v>
      </c>
    </row>
    <row r="5" spans="1:6">
      <c r="A5" t="s">
        <v>76</v>
      </c>
      <c r="B5">
        <f>COUNTIF(Data!$M$2:$M$1201,A5)</f>
        <v>0</v>
      </c>
      <c r="C5">
        <f>COUNTIFS(Data!$M$2:$M$1201,A5,Data!$X$2:$X$1201,1)</f>
        <v>0</v>
      </c>
      <c r="D5" s="4">
        <f>IF(B5=0,0,C5/B5)</f>
        <v>0</v>
      </c>
      <c r="E5" s="5">
        <f>AVERAGEIF(Data!$M$2:$M$1201,A5,Data!$E$2:$E$1201)</f>
        <v>0</v>
      </c>
      <c r="F5" s="4">
        <f>B5/SUM($B$4:$B$9)</f>
        <v>0</v>
      </c>
    </row>
    <row r="6" spans="1:6">
      <c r="A6" t="s">
        <v>44</v>
      </c>
      <c r="B6">
        <f>COUNTIF(Data!$M$2:$M$1201,A6)</f>
        <v>0</v>
      </c>
      <c r="C6">
        <f>COUNTIFS(Data!$M$2:$M$1201,A6,Data!$X$2:$X$1201,1)</f>
        <v>0</v>
      </c>
      <c r="D6" s="4">
        <f>IF(B6=0,0,C6/B6)</f>
        <v>0</v>
      </c>
      <c r="E6" s="5">
        <f>AVERAGEIF(Data!$M$2:$M$1201,A6,Data!$E$2:$E$1201)</f>
        <v>0</v>
      </c>
      <c r="F6" s="4">
        <f>B6/SUM($B$4:$B$9)</f>
        <v>0</v>
      </c>
    </row>
    <row r="7" spans="1:6">
      <c r="A7" t="s">
        <v>39</v>
      </c>
      <c r="B7">
        <f>COUNTIF(Data!$M$2:$M$1201,A7)</f>
        <v>0</v>
      </c>
      <c r="C7">
        <f>COUNTIFS(Data!$M$2:$M$1201,A7,Data!$X$2:$X$1201,1)</f>
        <v>0</v>
      </c>
      <c r="D7" s="4">
        <f>IF(B7=0,0,C7/B7)</f>
        <v>0</v>
      </c>
      <c r="E7" s="5">
        <f>AVERAGEIF(Data!$M$2:$M$1201,A7,Data!$E$2:$E$1201)</f>
        <v>0</v>
      </c>
      <c r="F7" s="4">
        <f>B7/SUM($B$4:$B$9)</f>
        <v>0</v>
      </c>
    </row>
    <row r="8" spans="1:6">
      <c r="A8" t="s">
        <v>32</v>
      </c>
      <c r="B8">
        <f>COUNTIF(Data!$M$2:$M$1201,A8)</f>
        <v>0</v>
      </c>
      <c r="C8">
        <f>COUNTIFS(Data!$M$2:$M$1201,A8,Data!$X$2:$X$1201,1)</f>
        <v>0</v>
      </c>
      <c r="D8" s="4">
        <f>IF(B8=0,0,C8/B8)</f>
        <v>0</v>
      </c>
      <c r="E8" s="5">
        <f>AVERAGEIF(Data!$M$2:$M$1201,A8,Data!$E$2:$E$1201)</f>
        <v>0</v>
      </c>
      <c r="F8" s="4">
        <f>B8/SUM($B$4:$B$9)</f>
        <v>0</v>
      </c>
    </row>
    <row r="9" spans="1:6">
      <c r="A9" t="s">
        <v>97</v>
      </c>
      <c r="B9">
        <f>COUNTIF(Data!$M$2:$M$1201,A9)</f>
        <v>0</v>
      </c>
      <c r="C9">
        <f>COUNTIFS(Data!$M$2:$M$1201,A9,Data!$X$2:$X$1201,1)</f>
        <v>0</v>
      </c>
      <c r="D9" s="4">
        <f>IF(B9=0,0,C9/B9)</f>
        <v>0</v>
      </c>
      <c r="E9" s="5">
        <f>AVERAGEIF(Data!$M$2:$M$1201,A9,Data!$E$2:$E$1201)</f>
        <v>0</v>
      </c>
      <c r="F9" s="4">
        <f>B9/SUM($B$4:$B$9)</f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6" width="18.7109375" customWidth="1"/>
  </cols>
  <sheetData>
    <row r="1" spans="1:6">
      <c r="A1" s="1" t="s">
        <v>3655</v>
      </c>
    </row>
    <row r="3" spans="1:6">
      <c r="A3" s="3" t="s">
        <v>6</v>
      </c>
      <c r="B3" s="3" t="s">
        <v>3646</v>
      </c>
      <c r="C3" s="3" t="s">
        <v>3647</v>
      </c>
      <c r="D3" s="3" t="s">
        <v>3648</v>
      </c>
      <c r="E3" s="3" t="s">
        <v>3649</v>
      </c>
      <c r="F3" s="3" t="s">
        <v>3650</v>
      </c>
    </row>
    <row r="4" spans="1:6">
      <c r="A4" t="s">
        <v>47</v>
      </c>
      <c r="B4">
        <f>COUNTIF(Data!$G$2:$G$1201,A4)</f>
        <v>0</v>
      </c>
      <c r="C4">
        <f>COUNTIFS(Data!$G$2:$G$1201,A4,Data!$X$2:$X$1201,1)</f>
        <v>0</v>
      </c>
      <c r="D4" s="4">
        <f>IF(B4=0,0,C4/B4)</f>
        <v>0</v>
      </c>
      <c r="E4" s="5">
        <f>AVERAGEIF(Data!$G$2:$G$1201,A4,Data!$E$2:$E$1201)</f>
        <v>0</v>
      </c>
      <c r="F4" s="4">
        <f>B4/SUM($B$4:$B$7)</f>
        <v>0</v>
      </c>
    </row>
    <row r="5" spans="1:6">
      <c r="A5" t="s">
        <v>27</v>
      </c>
      <c r="B5">
        <f>COUNTIF(Data!$G$2:$G$1201,A5)</f>
        <v>0</v>
      </c>
      <c r="C5">
        <f>COUNTIFS(Data!$G$2:$G$1201,A5,Data!$X$2:$X$1201,1)</f>
        <v>0</v>
      </c>
      <c r="D5" s="4">
        <f>IF(B5=0,0,C5/B5)</f>
        <v>0</v>
      </c>
      <c r="E5" s="5">
        <f>AVERAGEIF(Data!$G$2:$G$1201,A5,Data!$E$2:$E$1201)</f>
        <v>0</v>
      </c>
      <c r="F5" s="4">
        <f>B5/SUM($B$4:$B$7)</f>
        <v>0</v>
      </c>
    </row>
    <row r="6" spans="1:6">
      <c r="A6" t="s">
        <v>36</v>
      </c>
      <c r="B6">
        <f>COUNTIF(Data!$G$2:$G$1201,A6)</f>
        <v>0</v>
      </c>
      <c r="C6">
        <f>COUNTIFS(Data!$G$2:$G$1201,A6,Data!$X$2:$X$1201,1)</f>
        <v>0</v>
      </c>
      <c r="D6" s="4">
        <f>IF(B6=0,0,C6/B6)</f>
        <v>0</v>
      </c>
      <c r="E6" s="5">
        <f>AVERAGEIF(Data!$G$2:$G$1201,A6,Data!$E$2:$E$1201)</f>
        <v>0</v>
      </c>
      <c r="F6" s="4">
        <f>B6/SUM($B$4:$B$7)</f>
        <v>0</v>
      </c>
    </row>
    <row r="7" spans="1:6">
      <c r="A7" t="s">
        <v>62</v>
      </c>
      <c r="B7">
        <f>COUNTIF(Data!$G$2:$G$1201,A7)</f>
        <v>0</v>
      </c>
      <c r="C7">
        <f>COUNTIFS(Data!$G$2:$G$1201,A7,Data!$X$2:$X$1201,1)</f>
        <v>0</v>
      </c>
      <c r="D7" s="4">
        <f>IF(B7=0,0,C7/B7)</f>
        <v>0</v>
      </c>
      <c r="E7" s="5">
        <f>AVERAGEIF(Data!$G$2:$G$1201,A7,Data!$E$2:$E$1201)</f>
        <v>0</v>
      </c>
      <c r="F7" s="4">
        <f>B7/SUM($B$4:$B$7)</f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6" width="18.7109375" customWidth="1"/>
  </cols>
  <sheetData>
    <row r="1" spans="1:6">
      <c r="A1" s="1" t="s">
        <v>3656</v>
      </c>
    </row>
    <row r="3" spans="1:6">
      <c r="A3" s="3" t="s">
        <v>15</v>
      </c>
      <c r="B3" s="3" t="s">
        <v>3646</v>
      </c>
      <c r="C3" s="3" t="s">
        <v>3647</v>
      </c>
      <c r="D3" s="3" t="s">
        <v>3648</v>
      </c>
      <c r="E3" s="3" t="s">
        <v>3649</v>
      </c>
      <c r="F3" s="3" t="s">
        <v>3650</v>
      </c>
    </row>
    <row r="4" spans="1:6">
      <c r="A4">
        <v>0</v>
      </c>
      <c r="B4">
        <f>COUNTIF(Data!$P$2:$P$1201,A4)</f>
        <v>0</v>
      </c>
      <c r="C4">
        <f>COUNTIFS(Data!$P$2:$P$1201,A4,Data!$X$2:$X$1201,1)</f>
        <v>0</v>
      </c>
      <c r="D4" s="4">
        <f>IF(B4=0,0,C4/B4)</f>
        <v>0</v>
      </c>
      <c r="E4" s="5">
        <f>AVERAGEIF(Data!$P$2:$P$1201,A4,Data!$E$2:$E$1201)</f>
        <v>0</v>
      </c>
      <c r="F4" s="4">
        <f>B4/SUM($B$4:$B$5)</f>
        <v>0</v>
      </c>
    </row>
    <row r="5" spans="1:6">
      <c r="A5">
        <v>1</v>
      </c>
      <c r="B5">
        <f>COUNTIF(Data!$P$2:$P$1201,A5)</f>
        <v>0</v>
      </c>
      <c r="C5">
        <f>COUNTIFS(Data!$P$2:$P$1201,A5,Data!$X$2:$X$1201,1)</f>
        <v>0</v>
      </c>
      <c r="D5" s="4">
        <f>IF(B5=0,0,C5/B5)</f>
        <v>0</v>
      </c>
      <c r="E5" s="5">
        <f>AVERAGEIF(Data!$P$2:$P$1201,A5,Data!$E$2:$E$1201)</f>
        <v>0</v>
      </c>
      <c r="F5" s="4">
        <f>B5/SUM($B$4:$B$5)</f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3" width="20.7109375" customWidth="1"/>
  </cols>
  <sheetData>
    <row r="1" spans="1:3">
      <c r="A1" s="1" t="s">
        <v>3657</v>
      </c>
    </row>
    <row r="3" spans="1:3">
      <c r="A3" s="3" t="s">
        <v>8</v>
      </c>
      <c r="B3" s="3" t="s">
        <v>3658</v>
      </c>
      <c r="C3" s="3" t="s">
        <v>3659</v>
      </c>
    </row>
    <row r="4" spans="1:3">
      <c r="A4" t="s">
        <v>49</v>
      </c>
      <c r="B4">
        <f>COUNTIF(Data!$I$2:$I$1201,A4)</f>
        <v>0</v>
      </c>
      <c r="C4" s="4">
        <f>B4/SUM($B$4:$B$7)</f>
        <v>0</v>
      </c>
    </row>
    <row r="5" spans="1:3">
      <c r="A5" t="s">
        <v>29</v>
      </c>
      <c r="B5">
        <f>COUNTIF(Data!$I$2:$I$1201,A5)</f>
        <v>0</v>
      </c>
      <c r="C5" s="4">
        <f>B5/SUM($B$4:$B$7)</f>
        <v>0</v>
      </c>
    </row>
    <row r="6" spans="1:3">
      <c r="A6" t="s">
        <v>43</v>
      </c>
      <c r="B6">
        <f>COUNTIF(Data!$I$2:$I$1201,A6)</f>
        <v>0</v>
      </c>
      <c r="C6" s="4">
        <f>B6/SUM($B$4:$B$7)</f>
        <v>0</v>
      </c>
    </row>
    <row r="7" spans="1:3">
      <c r="A7" t="s">
        <v>90</v>
      </c>
      <c r="B7">
        <f>COUNTIF(Data!$I$2:$I$1201,A7)</f>
        <v>0</v>
      </c>
      <c r="C7" s="4">
        <f>B7/SUM($B$4:$B$7)</f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4" width="22.7109375" customWidth="1"/>
  </cols>
  <sheetData>
    <row r="1" spans="1:4">
      <c r="A1" s="1" t="s">
        <v>3660</v>
      </c>
    </row>
    <row r="3" spans="1:4">
      <c r="A3" s="3" t="s">
        <v>3661</v>
      </c>
      <c r="B3" s="3" t="s">
        <v>38</v>
      </c>
      <c r="C3" s="3" t="s">
        <v>31</v>
      </c>
      <c r="D3" s="3" t="s">
        <v>30</v>
      </c>
    </row>
    <row r="4" spans="1:4">
      <c r="A4" s="3" t="s">
        <v>38</v>
      </c>
      <c r="B4" s="4">
        <f>IFERROR(COUNTIFS(Data!$K$2:$K$1201,$A4,Data!$L$2:$L$1201,B$3,Data!$X$2:$X$1201,1)/COUNTIFS(Data!$K$2:$K$1201,$A4,Data!$L$2:$L$1201,B$3),0)</f>
        <v>0</v>
      </c>
      <c r="C4" s="4">
        <f>IFERROR(COUNTIFS(Data!$K$2:$K$1201,$A4,Data!$L$2:$L$1201,C$3,Data!$X$2:$X$1201,1)/COUNTIFS(Data!$K$2:$K$1201,$A4,Data!$L$2:$L$1201,C$3),0)</f>
        <v>0</v>
      </c>
      <c r="D4" s="4">
        <f>IFERROR(COUNTIFS(Data!$K$2:$K$1201,$A4,Data!$L$2:$L$1201,D$3,Data!$X$2:$X$1201,1)/COUNTIFS(Data!$K$2:$K$1201,$A4,Data!$L$2:$L$1201,D$3),0)</f>
        <v>0</v>
      </c>
    </row>
    <row r="5" spans="1:4">
      <c r="A5" s="3" t="s">
        <v>31</v>
      </c>
      <c r="B5" s="4">
        <f>IFERROR(COUNTIFS(Data!$K$2:$K$1201,$A5,Data!$L$2:$L$1201,B$3,Data!$X$2:$X$1201,1)/COUNTIFS(Data!$K$2:$K$1201,$A5,Data!$L$2:$L$1201,B$3),0)</f>
        <v>0</v>
      </c>
      <c r="C5" s="4">
        <f>IFERROR(COUNTIFS(Data!$K$2:$K$1201,$A5,Data!$L$2:$L$1201,C$3,Data!$X$2:$X$1201,1)/COUNTIFS(Data!$K$2:$K$1201,$A5,Data!$L$2:$L$1201,C$3),0)</f>
        <v>0</v>
      </c>
      <c r="D5" s="4">
        <f>IFERROR(COUNTIFS(Data!$K$2:$K$1201,$A5,Data!$L$2:$L$1201,D$3,Data!$X$2:$X$1201,1)/COUNTIFS(Data!$K$2:$K$1201,$A5,Data!$L$2:$L$1201,D$3),0)</f>
        <v>0</v>
      </c>
    </row>
    <row r="6" spans="1:4">
      <c r="A6" s="3" t="s">
        <v>30</v>
      </c>
      <c r="B6" s="4">
        <f>IFERROR(COUNTIFS(Data!$K$2:$K$1201,$A6,Data!$L$2:$L$1201,B$3,Data!$X$2:$X$1201,1)/COUNTIFS(Data!$K$2:$K$1201,$A6,Data!$L$2:$L$1201,B$3),0)</f>
        <v>0</v>
      </c>
      <c r="C6" s="4">
        <f>IFERROR(COUNTIFS(Data!$K$2:$K$1201,$A6,Data!$L$2:$L$1201,C$3,Data!$X$2:$X$1201,1)/COUNTIFS(Data!$K$2:$K$1201,$A6,Data!$L$2:$L$1201,C$3),0)</f>
        <v>0</v>
      </c>
      <c r="D6" s="4">
        <f>IFERROR(COUNTIFS(Data!$K$2:$K$1201,$A6,Data!$L$2:$L$1201,D$3,Data!$X$2:$X$1201,1)/COUNTIFS(Data!$K$2:$K$1201,$A6,Data!$L$2:$L$1201,D$3),0)</f>
        <v>0</v>
      </c>
    </row>
  </sheetData>
  <conditionalFormatting sqref="B4:D6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8" width="18.7109375" customWidth="1"/>
  </cols>
  <sheetData>
    <row r="1" spans="1:8">
      <c r="A1" s="1" t="s">
        <v>3662</v>
      </c>
    </row>
    <row r="3" spans="1:8">
      <c r="A3" s="3" t="s">
        <v>3663</v>
      </c>
      <c r="B3" s="3" t="s">
        <v>3664</v>
      </c>
      <c r="C3" s="3" t="s">
        <v>3665</v>
      </c>
      <c r="D3" s="3" t="s">
        <v>3666</v>
      </c>
      <c r="E3" s="3" t="s">
        <v>3667</v>
      </c>
      <c r="F3" s="3" t="s">
        <v>3668</v>
      </c>
      <c r="G3" s="3" t="s">
        <v>3669</v>
      </c>
      <c r="H3" s="3" t="s">
        <v>3670</v>
      </c>
    </row>
    <row r="4" spans="1:8">
      <c r="A4" t="s">
        <v>4</v>
      </c>
      <c r="B4" s="5">
        <f>AVERAGEIFS(Data!$E$2:$E$1201,Data!$X$2:$X$1201,0)</f>
        <v>0</v>
      </c>
      <c r="C4" s="5">
        <f>AVERAGEIFS(Data!$E$2:$E$1201,Data!$X$2:$X$1201,1)</f>
        <v>0</v>
      </c>
      <c r="D4" s="5">
        <f t="array" ref="D4">MEDIAN(IF(Data!$X$2:$X$1201=0,Data!$E$2:$E$1201))</f>
        <v>0</v>
      </c>
      <c r="E4" s="5">
        <f t="array" ref="E4">MEDIAN(IF(Data!$X$2:$X$1201=1,Data!$E$2:$E$1201))</f>
        <v>0</v>
      </c>
      <c r="F4" s="5">
        <f t="array" ref="F4">STDEV(IF(Data!$X$2:$X$1201=0,Data!$E$2:$E$1201))</f>
        <v>0</v>
      </c>
      <c r="G4" s="5">
        <f t="array" ref="G4">STDEV(IF(Data!$X$2:$X$1201=1,Data!$E$2:$E$1201))</f>
        <v>0</v>
      </c>
      <c r="H4" s="5">
        <f>IF(B4=0,0,C4/B4)</f>
        <v>0</v>
      </c>
    </row>
    <row r="5" spans="1:8">
      <c r="A5" t="s">
        <v>5</v>
      </c>
      <c r="B5" s="5">
        <f>AVERAGEIFS(Data!$F$2:$F$1201,Data!$X$2:$X$1201,0)</f>
        <v>0</v>
      </c>
      <c r="C5" s="5">
        <f>AVERAGEIFS(Data!$F$2:$F$1201,Data!$X$2:$X$1201,1)</f>
        <v>0</v>
      </c>
      <c r="D5" s="5">
        <f t="array" ref="D5">MEDIAN(IF(Data!$X$2:$X$1201=0,Data!$F$2:$F$1201))</f>
        <v>0</v>
      </c>
      <c r="E5" s="5">
        <f t="array" ref="E5">MEDIAN(IF(Data!$X$2:$X$1201=1,Data!$F$2:$F$1201))</f>
        <v>0</v>
      </c>
      <c r="F5" s="5">
        <f t="array" ref="F5">STDEV(IF(Data!$X$2:$X$1201=0,Data!$F$2:$F$1201))</f>
        <v>0</v>
      </c>
      <c r="G5" s="5">
        <f t="array" ref="G5">STDEV(IF(Data!$X$2:$X$1201=1,Data!$F$2:$F$1201))</f>
        <v>0</v>
      </c>
      <c r="H5" s="5">
        <f>IF(B5=0,0,C5/B5)</f>
        <v>0</v>
      </c>
    </row>
    <row r="6" spans="1:8">
      <c r="A6" t="s">
        <v>3</v>
      </c>
      <c r="B6" s="5">
        <f>AVERAGEIFS(Data!$D$2:$D$1201,Data!$X$2:$X$1201,0)</f>
        <v>0</v>
      </c>
      <c r="C6" s="5">
        <f>AVERAGEIFS(Data!$D$2:$D$1201,Data!$X$2:$X$1201,1)</f>
        <v>0</v>
      </c>
      <c r="D6" s="5">
        <f t="array" ref="D6">MEDIAN(IF(Data!$X$2:$X$1201=0,Data!$D$2:$D$1201))</f>
        <v>0</v>
      </c>
      <c r="E6" s="5">
        <f t="array" ref="E6">MEDIAN(IF(Data!$X$2:$X$1201=1,Data!$D$2:$D$1201))</f>
        <v>0</v>
      </c>
      <c r="F6" s="5">
        <f t="array" ref="F6">STDEV(IF(Data!$X$2:$X$1201=0,Data!$D$2:$D$1201))</f>
        <v>0</v>
      </c>
      <c r="G6" s="5">
        <f t="array" ref="G6">STDEV(IF(Data!$X$2:$X$1201=1,Data!$D$2:$D$1201))</f>
        <v>0</v>
      </c>
      <c r="H6" s="5">
        <f>IF(B6=0,0,C6/B6)</f>
        <v>0</v>
      </c>
    </row>
    <row r="7" spans="1:8">
      <c r="A7" t="s">
        <v>18</v>
      </c>
      <c r="B7" s="5">
        <f>AVERAGEIFS(Data!$S$2:$S$1201,Data!$X$2:$X$1201,0)</f>
        <v>0</v>
      </c>
      <c r="C7" s="5">
        <f>AVERAGEIFS(Data!$S$2:$S$1201,Data!$X$2:$X$1201,1)</f>
        <v>0</v>
      </c>
      <c r="D7" s="5">
        <f t="array" ref="D7">MEDIAN(IF(Data!$X$2:$X$1201=0,Data!$S$2:$S$1201))</f>
        <v>0</v>
      </c>
      <c r="E7" s="5">
        <f t="array" ref="E7">MEDIAN(IF(Data!$X$2:$X$1201=1,Data!$S$2:$S$1201))</f>
        <v>0</v>
      </c>
      <c r="F7" s="5">
        <f t="array" ref="F7">STDEV(IF(Data!$X$2:$X$1201=0,Data!$S$2:$S$1201))</f>
        <v>0</v>
      </c>
      <c r="G7" s="5">
        <f t="array" ref="G7">STDEV(IF(Data!$X$2:$X$1201=1,Data!$S$2:$S$1201))</f>
        <v>0</v>
      </c>
      <c r="H7" s="5">
        <f>IF(B7=0,0,C7/B7)</f>
        <v>0</v>
      </c>
    </row>
    <row r="8" spans="1:8">
      <c r="A8" t="s">
        <v>16</v>
      </c>
      <c r="B8" s="5">
        <f>AVERAGEIFS(Data!$Q$2:$Q$1201,Data!$X$2:$X$1201,0)</f>
        <v>0</v>
      </c>
      <c r="C8" s="5">
        <f>AVERAGEIFS(Data!$Q$2:$Q$1201,Data!$X$2:$X$1201,1)</f>
        <v>0</v>
      </c>
      <c r="D8" s="5">
        <f t="array" ref="D8">MEDIAN(IF(Data!$X$2:$X$1201=0,Data!$Q$2:$Q$1201))</f>
        <v>0</v>
      </c>
      <c r="E8" s="5">
        <f t="array" ref="E8">MEDIAN(IF(Data!$X$2:$X$1201=1,Data!$Q$2:$Q$1201))</f>
        <v>0</v>
      </c>
      <c r="F8" s="5">
        <f t="array" ref="F8">STDEV(IF(Data!$X$2:$X$1201=0,Data!$Q$2:$Q$1201))</f>
        <v>0</v>
      </c>
      <c r="G8" s="5">
        <f t="array" ref="G8">STDEV(IF(Data!$X$2:$X$1201=1,Data!$Q$2:$Q$1201))</f>
        <v>0</v>
      </c>
      <c r="H8" s="5">
        <f>IF(B8=0,0,C8/B8)</f>
        <v>0</v>
      </c>
    </row>
    <row r="10" spans="1:8">
      <c r="A10" s="2" t="s">
        <v>3671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cols>
    <col min="1" max="10" width="16.7109375" customWidth="1"/>
  </cols>
  <sheetData>
    <row r="1" spans="1:10">
      <c r="A1" s="1" t="s">
        <v>3672</v>
      </c>
    </row>
    <row r="3" spans="1:10">
      <c r="A3" s="3" t="s">
        <v>3663</v>
      </c>
      <c r="B3" s="3" t="s">
        <v>3673</v>
      </c>
      <c r="C3" s="3" t="s">
        <v>3674</v>
      </c>
      <c r="D3" s="3" t="s">
        <v>3675</v>
      </c>
      <c r="E3" s="3" t="s">
        <v>3676</v>
      </c>
      <c r="F3" s="3" t="s">
        <v>3677</v>
      </c>
      <c r="G3" s="3" t="s">
        <v>3678</v>
      </c>
      <c r="H3" s="3" t="s">
        <v>3679</v>
      </c>
      <c r="I3" s="3" t="s">
        <v>3680</v>
      </c>
      <c r="J3" s="3" t="s">
        <v>3681</v>
      </c>
    </row>
    <row r="4" spans="1:10">
      <c r="A4" t="s">
        <v>4</v>
      </c>
      <c r="B4" s="5">
        <f>COUNT(Data!$E$2:$E$1201)</f>
        <v>0</v>
      </c>
      <c r="C4" s="5">
        <f>AVERAGE(Data!$E$2:$E$1201)</f>
        <v>0</v>
      </c>
      <c r="D4" s="5">
        <f>MEDIAN(Data!$E$2:$E$1201)</f>
        <v>0</v>
      </c>
      <c r="E4" s="5">
        <f>STDEV(Data!$E$2:$E$1201)</f>
        <v>0</v>
      </c>
      <c r="F4" s="5">
        <f>MIN(Data!$E$2:$E$1201)</f>
        <v>0</v>
      </c>
      <c r="G4" s="5">
        <f>QUARTILE(Data!$E$2:$E$1201,1)</f>
        <v>0</v>
      </c>
      <c r="H4" s="5">
        <f>QUARTILE(Data!$E$2:$E$1201,3)</f>
        <v>0</v>
      </c>
      <c r="I4" s="5">
        <f>MAX(Data!$E$2:$E$1201)</f>
        <v>0</v>
      </c>
      <c r="J4" s="5">
        <f>SKEW(Data!$E$2:$E$1201)</f>
        <v>0</v>
      </c>
    </row>
    <row r="5" spans="1:10">
      <c r="A5" t="s">
        <v>5</v>
      </c>
      <c r="B5" s="5">
        <f>COUNT(Data!$F$2:$F$1201)</f>
        <v>0</v>
      </c>
      <c r="C5" s="5">
        <f>AVERAGE(Data!$F$2:$F$1201)</f>
        <v>0</v>
      </c>
      <c r="D5" s="5">
        <f>MEDIAN(Data!$F$2:$F$1201)</f>
        <v>0</v>
      </c>
      <c r="E5" s="5">
        <f>STDEV(Data!$F$2:$F$1201)</f>
        <v>0</v>
      </c>
      <c r="F5" s="5">
        <f>MIN(Data!$F$2:$F$1201)</f>
        <v>0</v>
      </c>
      <c r="G5" s="5">
        <f>QUARTILE(Data!$F$2:$F$1201,1)</f>
        <v>0</v>
      </c>
      <c r="H5" s="5">
        <f>QUARTILE(Data!$F$2:$F$1201,3)</f>
        <v>0</v>
      </c>
      <c r="I5" s="5">
        <f>MAX(Data!$F$2:$F$1201)</f>
        <v>0</v>
      </c>
      <c r="J5" s="5">
        <f>SKEW(Data!$F$2:$F$1201)</f>
        <v>0</v>
      </c>
    </row>
    <row r="6" spans="1:10">
      <c r="A6" t="s">
        <v>3</v>
      </c>
      <c r="B6" s="5">
        <f>COUNT(Data!$D$2:$D$1201)</f>
        <v>0</v>
      </c>
      <c r="C6" s="5">
        <f>AVERAGE(Data!$D$2:$D$1201)</f>
        <v>0</v>
      </c>
      <c r="D6" s="5">
        <f>MEDIAN(Data!$D$2:$D$1201)</f>
        <v>0</v>
      </c>
      <c r="E6" s="5">
        <f>STDEV(Data!$D$2:$D$1201)</f>
        <v>0</v>
      </c>
      <c r="F6" s="5">
        <f>MIN(Data!$D$2:$D$1201)</f>
        <v>0</v>
      </c>
      <c r="G6" s="5">
        <f>QUARTILE(Data!$D$2:$D$1201,1)</f>
        <v>0</v>
      </c>
      <c r="H6" s="5">
        <f>QUARTILE(Data!$D$2:$D$1201,3)</f>
        <v>0</v>
      </c>
      <c r="I6" s="5">
        <f>MAX(Data!$D$2:$D$1201)</f>
        <v>0</v>
      </c>
      <c r="J6" s="5">
        <f>SKEW(Data!$D$2:$D$1201)</f>
        <v>0</v>
      </c>
    </row>
    <row r="7" spans="1:10">
      <c r="A7" t="s">
        <v>18</v>
      </c>
      <c r="B7" s="5">
        <f>COUNT(Data!$S$2:$S$1201)</f>
        <v>0</v>
      </c>
      <c r="C7" s="5">
        <f>AVERAGE(Data!$S$2:$S$1201)</f>
        <v>0</v>
      </c>
      <c r="D7" s="5">
        <f>MEDIAN(Data!$S$2:$S$1201)</f>
        <v>0</v>
      </c>
      <c r="E7" s="5">
        <f>STDEV(Data!$S$2:$S$1201)</f>
        <v>0</v>
      </c>
      <c r="F7" s="5">
        <f>MIN(Data!$S$2:$S$1201)</f>
        <v>0</v>
      </c>
      <c r="G7" s="5">
        <f>QUARTILE(Data!$S$2:$S$1201,1)</f>
        <v>0</v>
      </c>
      <c r="H7" s="5">
        <f>QUARTILE(Data!$S$2:$S$1201,3)</f>
        <v>0</v>
      </c>
      <c r="I7" s="5">
        <f>MAX(Data!$S$2:$S$1201)</f>
        <v>0</v>
      </c>
      <c r="J7" s="5">
        <f>SKEW(Data!$S$2:$S$1201)</f>
        <v>0</v>
      </c>
    </row>
    <row r="8" spans="1:10">
      <c r="A8" t="s">
        <v>16</v>
      </c>
      <c r="B8" s="5">
        <f>COUNT(Data!$Q$2:$Q$1201)</f>
        <v>0</v>
      </c>
      <c r="C8" s="5">
        <f>AVERAGE(Data!$Q$2:$Q$1201)</f>
        <v>0</v>
      </c>
      <c r="D8" s="5">
        <f>MEDIAN(Data!$Q$2:$Q$1201)</f>
        <v>0</v>
      </c>
      <c r="E8" s="5">
        <f>STDEV(Data!$Q$2:$Q$1201)</f>
        <v>0</v>
      </c>
      <c r="F8" s="5">
        <f>MIN(Data!$Q$2:$Q$1201)</f>
        <v>0</v>
      </c>
      <c r="G8" s="5">
        <f>QUARTILE(Data!$Q$2:$Q$1201,1)</f>
        <v>0</v>
      </c>
      <c r="H8" s="5">
        <f>QUARTILE(Data!$Q$2:$Q$1201,3)</f>
        <v>0</v>
      </c>
      <c r="I8" s="5">
        <f>MAX(Data!$Q$2:$Q$1201)</f>
        <v>0</v>
      </c>
      <c r="J8" s="5">
        <f>SKEW(Data!$Q$2:$Q$1201)</f>
        <v>0</v>
      </c>
    </row>
    <row r="11" spans="1:10">
      <c r="A11" s="1" t="s">
        <v>3682</v>
      </c>
    </row>
    <row r="12" spans="1:10">
      <c r="A12" s="3" t="s">
        <v>3663</v>
      </c>
      <c r="B12" s="3" t="s">
        <v>3683</v>
      </c>
    </row>
    <row r="13" spans="1:10">
      <c r="A13" t="s">
        <v>4</v>
      </c>
      <c r="B13" s="5">
        <f>CORREL(Data!$E$2:$E$1201,Data!$X$2:$X$1201)</f>
        <v>0</v>
      </c>
    </row>
    <row r="14" spans="1:10">
      <c r="A14" t="s">
        <v>5</v>
      </c>
      <c r="B14" s="5">
        <f>CORREL(Data!$F$2:$F$1201,Data!$X$2:$X$1201)</f>
        <v>0</v>
      </c>
    </row>
    <row r="15" spans="1:10">
      <c r="A15" t="s">
        <v>3</v>
      </c>
      <c r="B15" s="5">
        <f>CORREL(Data!$D$2:$D$1201,Data!$X$2:$X$1201)</f>
        <v>0</v>
      </c>
    </row>
    <row r="16" spans="1:10">
      <c r="A16" t="s">
        <v>18</v>
      </c>
      <c r="B16" s="5">
        <f>CORREL(Data!$S$2:$S$1201,Data!$X$2:$X$1201)</f>
        <v>0</v>
      </c>
    </row>
    <row r="17" spans="1:2">
      <c r="A17" t="s">
        <v>16</v>
      </c>
      <c r="B17" s="5">
        <f>CORREL(Data!$Q$2:$Q$1201,Data!$X$2:$X$1201)</f>
        <v>0</v>
      </c>
    </row>
    <row r="19" spans="1:2">
      <c r="A19" s="3" t="s">
        <v>3684</v>
      </c>
      <c r="B19">
        <f>SUM(Data!$V$2:$V$1201)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cols>
    <col min="1" max="1" width="130.7109375" customWidth="1"/>
  </cols>
  <sheetData>
    <row r="1" spans="1:1">
      <c r="A1" t="s">
        <v>3685</v>
      </c>
    </row>
    <row r="2" spans="1:1">
      <c r="A2" t="s">
        <v>3686</v>
      </c>
    </row>
    <row r="3" spans="1:1">
      <c r="A3" t="s">
        <v>3687</v>
      </c>
    </row>
    <row r="4" spans="1:1">
      <c r="A4" t="s">
        <v>3688</v>
      </c>
    </row>
    <row r="5" spans="1:1">
      <c r="A5" t="s">
        <v>3689</v>
      </c>
    </row>
    <row r="6" spans="1:1">
      <c r="A6" t="s">
        <v>3690</v>
      </c>
    </row>
    <row r="7" spans="1:1">
      <c r="A7" t="s">
        <v>3691</v>
      </c>
    </row>
    <row r="8" spans="1:1">
      <c r="A8" t="s">
        <v>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Data</vt:lpstr>
      <vt:lpstr>Protocol</vt:lpstr>
      <vt:lpstr>Hourly</vt:lpstr>
      <vt:lpstr>Zones</vt:lpstr>
      <vt:lpstr>DestZones</vt:lpstr>
      <vt:lpstr>Ports</vt:lpstr>
      <vt:lpstr>HostGroups</vt:lpstr>
      <vt:lpstr>Maintenance</vt:lpstr>
      <vt:lpstr>Labels</vt:lpstr>
      <vt:lpstr>ZoneMatrix</vt:lpstr>
      <vt:lpstr>Features</vt:lpstr>
      <vt:lpstr>Stats</vt:lpstr>
      <vt:lpstr>Pivots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2026-10-12T07:15:51Z</dcterms:created>
  <dcterms:modified xsi:type="dcterms:W3CDTF">2026-10-12T07:15:51Z</dcterms:modified>
</cp:coreProperties>
</file>